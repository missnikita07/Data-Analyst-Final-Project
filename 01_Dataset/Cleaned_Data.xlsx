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Final Project\01_Dataset\"/>
    </mc:Choice>
  </mc:AlternateContent>
  <xr:revisionPtr revIDLastSave="0" documentId="13_ncr:9_{77D66D4E-07F4-4C18-A533-6884020A81E3}" xr6:coauthVersionLast="47" xr6:coauthVersionMax="47" xr10:uidLastSave="{00000000-0000-0000-0000-000000000000}"/>
  <bookViews>
    <workbookView xWindow="-110" yWindow="-110" windowWidth="19420" windowHeight="10300" xr2:uid="{756CC55B-E056-4FDA-A2E9-E938DFFE646A}"/>
  </bookViews>
  <sheets>
    <sheet name="Raw_Data" sheetId="1" r:id="rId1"/>
    <sheet name="Data_Cleaning_Log" sheetId="2" r:id="rId2"/>
    <sheet name="Outlier_Analysis" sheetId="3" r:id="rId3"/>
    <sheet name="Data_Dictionary" sheetId="5" r:id="rId4"/>
    <sheet name="Excel_Analysis" sheetId="6" r:id="rId5"/>
    <sheet name="Risk_Segmentation" sheetId="7" r:id="rId6"/>
    <sheet name="Hypothesis_Testing" sheetId="8" r:id="rId7"/>
  </sheets>
  <calcPr calcId="0"/>
</workbook>
</file>

<file path=xl/calcChain.xml><?xml version="1.0" encoding="utf-8"?>
<calcChain xmlns="http://schemas.openxmlformats.org/spreadsheetml/2006/main">
  <c r="G50" i="8" l="1"/>
  <c r="G48" i="8"/>
  <c r="G47" i="8" a="1"/>
  <c r="G47" i="8" s="1"/>
  <c r="G45" i="8"/>
  <c r="H44" i="8"/>
  <c r="H45" i="8"/>
  <c r="G44" i="8"/>
  <c r="H43" i="8"/>
  <c r="G43" i="8"/>
  <c r="D44" i="8"/>
  <c r="D45" i="8"/>
  <c r="D43" i="8"/>
  <c r="H24" i="8"/>
  <c r="H25" i="8"/>
  <c r="H26" i="8"/>
  <c r="H27" i="8"/>
  <c r="G24" i="8"/>
  <c r="G25" i="8"/>
  <c r="G26" i="8"/>
  <c r="G27" i="8"/>
  <c r="D24" i="8"/>
  <c r="D25" i="8"/>
  <c r="D26" i="8"/>
  <c r="D27" i="8"/>
  <c r="D23" i="8"/>
  <c r="H23" i="8" s="1"/>
  <c r="C13" i="8"/>
  <c r="B13" i="8"/>
  <c r="C12" i="8"/>
  <c r="B12" i="8"/>
  <c r="C11" i="8"/>
  <c r="B11" i="8"/>
  <c r="C10" i="8"/>
  <c r="B10" i="8"/>
  <c r="C9" i="8"/>
  <c r="B9" i="8"/>
  <c r="C4" i="8"/>
  <c r="B4" i="8"/>
  <c r="C3" i="8"/>
  <c r="B3" i="8"/>
  <c r="P5" i="7"/>
  <c r="P3" i="7"/>
  <c r="P4" i="7"/>
  <c r="P2" i="7"/>
  <c r="O5" i="7"/>
  <c r="O4" i="7"/>
  <c r="O3" i="7"/>
  <c r="O2" i="7"/>
  <c r="N5" i="7"/>
  <c r="N4" i="7"/>
  <c r="N3" i="7"/>
  <c r="N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A100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I2" i="7"/>
  <c r="H2" i="7"/>
  <c r="G2" i="7"/>
  <c r="F2" i="7"/>
  <c r="E2" i="7"/>
  <c r="D2" i="7"/>
  <c r="C2" i="7"/>
  <c r="B2" i="7"/>
  <c r="A2" i="7"/>
  <c r="G69" i="6"/>
  <c r="F69" i="6"/>
  <c r="E69" i="6"/>
  <c r="G68" i="6"/>
  <c r="F68" i="6"/>
  <c r="E68" i="6"/>
  <c r="G67" i="6"/>
  <c r="F67" i="6"/>
  <c r="E67" i="6"/>
  <c r="G66" i="6"/>
  <c r="F66" i="6"/>
  <c r="E66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1" i="6"/>
  <c r="F51" i="6"/>
  <c r="E51" i="6"/>
  <c r="G50" i="6"/>
  <c r="F50" i="6"/>
  <c r="E50" i="6"/>
  <c r="G49" i="6"/>
  <c r="F49" i="6"/>
  <c r="E49" i="6"/>
  <c r="G45" i="6"/>
  <c r="F45" i="6"/>
  <c r="E45" i="6"/>
  <c r="G44" i="6"/>
  <c r="F44" i="6"/>
  <c r="E44" i="6"/>
  <c r="G43" i="6"/>
  <c r="F43" i="6"/>
  <c r="E43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1" i="6"/>
  <c r="F11" i="6"/>
  <c r="E11" i="6"/>
  <c r="G10" i="6"/>
  <c r="F10" i="6"/>
  <c r="E10" i="6"/>
  <c r="G9" i="6"/>
  <c r="F9" i="6"/>
  <c r="E9" i="6"/>
  <c r="E5" i="6"/>
  <c r="E4" i="6"/>
  <c r="B15" i="6"/>
  <c r="B14" i="6"/>
  <c r="B13" i="6"/>
  <c r="B12" i="6"/>
  <c r="B11" i="6"/>
  <c r="B8" i="6"/>
  <c r="B7" i="6"/>
  <c r="B6" i="6"/>
  <c r="B5" i="6"/>
  <c r="B4" i="6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D31" i="2"/>
  <c r="C31" i="2"/>
  <c r="D30" i="2"/>
  <c r="C30" i="2"/>
  <c r="D29" i="2" s="1"/>
  <c r="C29" i="2"/>
  <c r="D28" i="2" s="1"/>
  <c r="C28" i="2"/>
  <c r="D27" i="2" s="1"/>
  <c r="C27" i="2"/>
  <c r="D26" i="2" s="1"/>
  <c r="C26" i="2"/>
  <c r="D25" i="2" s="1"/>
  <c r="C25" i="2"/>
  <c r="D24" i="2"/>
  <c r="C24" i="2"/>
  <c r="D23" i="2" s="1"/>
  <c r="C23" i="2"/>
  <c r="D22" i="2" s="1"/>
  <c r="C22" i="2"/>
  <c r="D21" i="2"/>
  <c r="C21" i="2"/>
  <c r="D20" i="2"/>
  <c r="C20" i="2"/>
  <c r="D19" i="2" s="1"/>
  <c r="C19" i="2"/>
  <c r="D18" i="2" s="1"/>
  <c r="C18" i="2"/>
  <c r="D17" i="2" s="1"/>
  <c r="C17" i="2"/>
  <c r="D16" i="2"/>
  <c r="C16" i="2"/>
  <c r="D15" i="2"/>
  <c r="C15" i="2"/>
  <c r="D14" i="2"/>
  <c r="C14" i="2"/>
  <c r="D13" i="2"/>
  <c r="C13" i="2"/>
  <c r="D12" i="2"/>
  <c r="C1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G23" i="8" l="1"/>
  <c r="G30" i="8" s="1"/>
  <c r="G32" i="8" s="1"/>
  <c r="G29" i="8" l="1" a="1"/>
  <c r="G2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<sst xmlns="http://schemas.openxmlformats.org/spreadsheetml/2006/main" count="1354" uniqueCount="180">
  <si>
    <t>CustomerID</t>
  </si>
  <si>
    <t>Age</t>
  </si>
  <si>
    <t>Gender</t>
  </si>
  <si>
    <t>Tenure_Months</t>
  </si>
  <si>
    <t>Balance</t>
  </si>
  <si>
    <t>NumOfProducts</t>
  </si>
  <si>
    <t>HasCrCard</t>
  </si>
  <si>
    <t>IsActiveMember</t>
  </si>
  <si>
    <t>EstimatedSalary</t>
  </si>
  <si>
    <t>Churn</t>
  </si>
  <si>
    <t>Male</t>
  </si>
  <si>
    <t>Female</t>
  </si>
  <si>
    <t>Check</t>
  </si>
  <si>
    <t>Column</t>
  </si>
  <si>
    <t>Result</t>
  </si>
  <si>
    <t>Action Taken</t>
  </si>
  <si>
    <t>Missing Values</t>
  </si>
  <si>
    <t>Duplicate_Check</t>
  </si>
  <si>
    <t>Duplicate Records</t>
  </si>
  <si>
    <t>Invalid Gender Values</t>
  </si>
  <si>
    <t>Invalid Age Values</t>
  </si>
  <si>
    <t>Invalid Tenure Values</t>
  </si>
  <si>
    <t>Invalid Balance Values</t>
  </si>
  <si>
    <t>Invalid Credit Card Values</t>
  </si>
  <si>
    <t>Invalid Active Member Values</t>
  </si>
  <si>
    <t>Invalid Salary Values</t>
  </si>
  <si>
    <t>Invalid Product Values</t>
  </si>
  <si>
    <t>Invalid Churn Values</t>
  </si>
  <si>
    <t>Data Type Check</t>
  </si>
  <si>
    <t>Variable</t>
  </si>
  <si>
    <t>Q1</t>
  </si>
  <si>
    <t>Q3</t>
  </si>
  <si>
    <t>IQR</t>
  </si>
  <si>
    <t>LOWER BOUND</t>
  </si>
  <si>
    <t>UPPER BOUND</t>
  </si>
  <si>
    <t>OUTLIER COUNT</t>
  </si>
  <si>
    <t>DECISION</t>
  </si>
  <si>
    <t>Outlier Assessment</t>
  </si>
  <si>
    <t>No IQR outliers; no action required</t>
  </si>
  <si>
    <t>All Checks</t>
  </si>
  <si>
    <t>Passed</t>
  </si>
  <si>
    <t>No missing, duplicate, invalid or IQR outlier records identified</t>
  </si>
  <si>
    <t>Overall Data Quality Status</t>
  </si>
  <si>
    <t>Description</t>
  </si>
  <si>
    <t>Data Type</t>
  </si>
  <si>
    <t>Measurement/Values</t>
  </si>
  <si>
    <t>Role</t>
  </si>
  <si>
    <t>Unique identifier for each customer</t>
  </si>
  <si>
    <t>Numeric</t>
  </si>
  <si>
    <t>Unique ID</t>
  </si>
  <si>
    <t>Identifier</t>
  </si>
  <si>
    <t>Age of the customer</t>
  </si>
  <si>
    <t>Years</t>
  </si>
  <si>
    <t>Predictor</t>
  </si>
  <si>
    <t>Gender of the customer</t>
  </si>
  <si>
    <t>Categorical</t>
  </si>
  <si>
    <t>Male/Female</t>
  </si>
  <si>
    <t>Duration of customer relationship with the bank</t>
  </si>
  <si>
    <t>Months</t>
  </si>
  <si>
    <t>Customer account balance</t>
  </si>
  <si>
    <t>Currency/amount</t>
  </si>
  <si>
    <t>Number of banking products held</t>
  </si>
  <si>
    <t>Count</t>
  </si>
  <si>
    <t>Indicates whether customer has a credit card</t>
  </si>
  <si>
    <t>Binary</t>
  </si>
  <si>
    <t>0/1</t>
  </si>
  <si>
    <t>Indicates whether customer is an active member</t>
  </si>
  <si>
    <t>Estimated customer salary</t>
  </si>
  <si>
    <t>Indicates whether customer left the bank</t>
  </si>
  <si>
    <t>0 = No, 1 = Yes</t>
  </si>
  <si>
    <t>Target</t>
  </si>
  <si>
    <t>CUSTOMER CHURN ANALYSIS</t>
  </si>
  <si>
    <t>KPI</t>
  </si>
  <si>
    <t>Value</t>
  </si>
  <si>
    <t>Total Customers</t>
  </si>
  <si>
    <t>Churned Customers</t>
  </si>
  <si>
    <t>Retained Customers</t>
  </si>
  <si>
    <t>Churn Rate</t>
  </si>
  <si>
    <t>Retention Rate</t>
  </si>
  <si>
    <t>Average Age</t>
  </si>
  <si>
    <t>Average Tenure (Months)</t>
  </si>
  <si>
    <t>Average Balance</t>
  </si>
  <si>
    <t>Average Number of Products</t>
  </si>
  <si>
    <t>Average Estimated Salary</t>
  </si>
  <si>
    <t>Churn Status</t>
  </si>
  <si>
    <t>Customers</t>
  </si>
  <si>
    <t>Retained</t>
  </si>
  <si>
    <t>Churned</t>
  </si>
  <si>
    <t>Total</t>
  </si>
  <si>
    <t>Age Group</t>
  </si>
  <si>
    <t>Interpretation</t>
  </si>
  <si>
    <t>18–25</t>
  </si>
  <si>
    <t>26–35</t>
  </si>
  <si>
    <t>36–45</t>
  </si>
  <si>
    <t>46–55</t>
  </si>
  <si>
    <t>56+</t>
  </si>
  <si>
    <t>Tenure Group</t>
  </si>
  <si>
    <t>0–12</t>
  </si>
  <si>
    <t>13–24</t>
  </si>
  <si>
    <t>25–36</t>
  </si>
  <si>
    <t>37–48</t>
  </si>
  <si>
    <t>49–60</t>
  </si>
  <si>
    <t>61+</t>
  </si>
  <si>
    <t>Number of Products</t>
  </si>
  <si>
    <t>Active Member Status</t>
  </si>
  <si>
    <t>Inactive</t>
  </si>
  <si>
    <t>Active</t>
  </si>
  <si>
    <t>Credit Card Status</t>
  </si>
  <si>
    <t>No Credit Card</t>
  </si>
  <si>
    <t>Has Credit Card</t>
  </si>
  <si>
    <t>Balance Group</t>
  </si>
  <si>
    <t>0–10K</t>
  </si>
  <si>
    <t>10–20K</t>
  </si>
  <si>
    <t>20–30K</t>
  </si>
  <si>
    <t>30–40K</t>
  </si>
  <si>
    <t>40K+</t>
  </si>
  <si>
    <t>Salary Group</t>
  </si>
  <si>
    <t>0–50K</t>
  </si>
  <si>
    <t>50–100K</t>
  </si>
  <si>
    <t>100K+</t>
  </si>
  <si>
    <t>Tenure</t>
  </si>
  <si>
    <t>Products</t>
  </si>
  <si>
    <t>Active Member</t>
  </si>
  <si>
    <t>Credit Card</t>
  </si>
  <si>
    <t>Salary</t>
  </si>
  <si>
    <t>Risk Score</t>
  </si>
  <si>
    <t>Risk Level</t>
  </si>
  <si>
    <t>Low Risk</t>
  </si>
  <si>
    <t>Medium Risk</t>
  </si>
  <si>
    <t>High Risk</t>
  </si>
  <si>
    <t>Key Finding</t>
  </si>
  <si>
    <t>High-risk customers have the highest observed churn rate of 9.90%.</t>
  </si>
  <si>
    <t>Medium-risk customers have a churn rate of 2.36%.</t>
  </si>
  <si>
    <t>No churn was observed among low-risk customers in this dataset.</t>
  </si>
  <si>
    <t>Risk segmentation indicates a clear difference in observed churn across the three groups.</t>
  </si>
  <si>
    <t>Active Membership vs Churn</t>
  </si>
  <si>
    <t>Status</t>
  </si>
  <si>
    <t>Not Churned</t>
  </si>
  <si>
    <t>Number of Products vs Churn</t>
  </si>
  <si>
    <t>H0 (Null Hypothesis)</t>
  </si>
  <si>
    <t>Number of products held by a customer has no significant relationship with customer churn.</t>
  </si>
  <si>
    <t>H1 (Alternative Hypothesis)</t>
  </si>
  <si>
    <t>Number of products held by a customer has a significant relationship with customer churn.</t>
  </si>
  <si>
    <t>Observation</t>
  </si>
  <si>
    <t>Customers holding 4 products show the highest churn count.</t>
  </si>
  <si>
    <t>Chi-Square Test: Number of Products vs Churn</t>
  </si>
  <si>
    <t>Chi-Square Statistic</t>
  </si>
  <si>
    <t>p-value</t>
  </si>
  <si>
    <t>Significance Level</t>
  </si>
  <si>
    <t>Decision</t>
  </si>
  <si>
    <t>Conclusion</t>
  </si>
  <si>
    <t>There is a statistically significant relationship between the number of products held by customers and customer churn.</t>
  </si>
  <si>
    <t>Business Insight</t>
  </si>
  <si>
    <t>Customers with 4 products have the highest observed churn count and should be investigated for retention strategies.</t>
  </si>
  <si>
    <t>Active membership status has no significant relationship with customer churn.</t>
  </si>
  <si>
    <t>Active membership status has a significant relationship with customer churn.</t>
  </si>
  <si>
    <t>All observed churned customers belong to the inactive membership group.</t>
  </si>
  <si>
    <t>Expected Not Churned</t>
  </si>
  <si>
    <t>Expected Churned</t>
  </si>
  <si>
    <t>There is a statistically significant relationship between active membership status and customer churn.</t>
  </si>
  <si>
    <t>All 17 observed churned customers belong to the inactive membership group, indicating that inactive customers represent a key churn-risk segment.</t>
  </si>
  <si>
    <t>Hypothesis Testing Summary</t>
  </si>
  <si>
    <t>Hypothesis</t>
  </si>
  <si>
    <t>Chi-Square</t>
  </si>
  <si>
    <t>Reject H0</t>
  </si>
  <si>
    <t>Significant Relationship</t>
  </si>
  <si>
    <t>Overall Conclusion</t>
  </si>
  <si>
    <t>Both tested factors show a statistically significant relationship with customer churn. Active membership and number of products are therefore important factors for customer churn analysis.</t>
  </si>
  <si>
    <t>Column1</t>
  </si>
  <si>
    <t>Column2</t>
  </si>
  <si>
    <t>Hypothesis 2</t>
  </si>
  <si>
    <t>Number of Products and Customer Churn</t>
  </si>
  <si>
    <t>Active Membership and Customer Churn</t>
  </si>
  <si>
    <t>Hypothesis 1</t>
  </si>
  <si>
    <t>KEY BUSINESS INSIGHTS</t>
  </si>
  <si>
    <t>Overall customer churn rate is 1.70%, indicating that most customers are retained.</t>
  </si>
  <si>
    <t>Customers with shorter tenure show higher churn risk, especially customers with 0–12 months of tenure.</t>
  </si>
  <si>
    <t>Customers holding 4 products have the highest churn rate among product groups.</t>
  </si>
  <si>
    <t>High-risk customers represent a smaller customer segment but contribute a large share of observed churn.</t>
  </si>
  <si>
    <t>Customer retention strategies should prioritize inactive, high-risk and short-tenure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</si>
</sst>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10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9" fillId="0" borderId="0" xfId="0" applyFont="1"/>
    <xf numFmtId="1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Distribution</a:t>
            </a:r>
            <a:endParaRPr lang="en-US"/>
          </a:p>
        </c:rich>
      </c:tx>
      <c:layout>
        <c:manualLayout>
          <c:xMode val="edge"/>
          <c:yMode val="edge"/>
          <c:x val="0.14814382896015549"/>
          <c:y val="2.102096190678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0125931004187E-2"/>
          <c:y val="0.16331876784632693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Excel_Analysis!$E$3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Excel_Analysis!$D$4:$D$5</c:f>
              <c:strCache>
                <c:ptCount val="2"/>
                <c:pt idx="0">
                  <c:v>Retained</c:v>
                </c:pt>
                <c:pt idx="1">
                  <c:v>Churned</c:v>
                </c:pt>
              </c:strCache>
            </c:strRef>
          </c:cat>
          <c:val>
            <c:numRef>
              <c:f>Excel_Analysis!$E$4:$E$5</c:f>
              <c:numCache>
                <c:formatCode>General</c:formatCode>
                <c:ptCount val="2"/>
                <c:pt idx="0">
                  <c:v>983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D-41B5-BDFE-338B580B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166120"/>
        <c:axId val="607169360"/>
      </c:barChart>
      <c:catAx>
        <c:axId val="60716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9360"/>
        <c:crosses val="autoZero"/>
        <c:auto val="1"/>
        <c:lblAlgn val="ctr"/>
        <c:lblOffset val="100"/>
        <c:noMultiLvlLbl val="0"/>
      </c:catAx>
      <c:valAx>
        <c:axId val="6071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Excel_Analysis!$E$8:$F$8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Excel_Analysis!$E$9:$F$9</c:f>
              <c:numCache>
                <c:formatCode>General</c:formatCode>
                <c:ptCount val="2"/>
                <c:pt idx="0">
                  <c:v>524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3-4E0E-9656-B4FD5A9D5F2B}"/>
            </c:ext>
          </c:extLst>
        </c:ser>
        <c:ser>
          <c:idx val="1"/>
          <c:order val="1"/>
          <c:tx>
            <c:strRef>
              <c:f>Excel_Analysis!$D$10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Excel_Analysis!$E$8:$F$8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Excel_Analysis!$E$10:$F$10</c:f>
              <c:numCache>
                <c:formatCode>General</c:formatCode>
                <c:ptCount val="2"/>
                <c:pt idx="0">
                  <c:v>476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3-4E0E-9656-B4FD5A9D5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298176"/>
        <c:axId val="458298896"/>
      </c:barChart>
      <c:catAx>
        <c:axId val="45829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8896"/>
        <c:crosses val="autoZero"/>
        <c:auto val="1"/>
        <c:lblAlgn val="ctr"/>
        <c:lblOffset val="100"/>
        <c:noMultiLvlLbl val="0"/>
      </c:catAx>
      <c:valAx>
        <c:axId val="4582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Excel_Analysis!$D$15:$D$20</c15:sqref>
                  </c15:fullRef>
                </c:ext>
              </c:extLst>
              <c:f>Excel_Analysis!$D$15:$D$19</c:f>
              <c:strCache>
                <c:ptCount val="5"/>
                <c:pt idx="0">
                  <c:v>18–25</c:v>
                </c:pt>
                <c:pt idx="1">
                  <c:v>26–35</c:v>
                </c:pt>
                <c:pt idx="2">
                  <c:v>36–45</c:v>
                </c:pt>
                <c:pt idx="3">
                  <c:v>46–55</c:v>
                </c:pt>
                <c:pt idx="4">
                  <c:v>56+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Excel_Analysis!$F$15:$F$20</c15:sqref>
                  </c15:fullRef>
                </c:ext>
              </c:extLst>
              <c:f>Excel_Analysis!$F$15:$F$19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106-447B-A1B8-032E6346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817616"/>
        <c:axId val="7188140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Excel_Analysis!$D$15:$D$20</c15:sqref>
                        </c15:fullRef>
                        <c15:formulaRef>
                          <c15:sqref>Excel_Analysis!$D$15:$D$19</c15:sqref>
                        </c15:formulaRef>
                      </c:ext>
                    </c:extLst>
                    <c:strCache>
                      <c:ptCount val="5"/>
                      <c:pt idx="0">
                        <c:v>18–25</c:v>
                      </c:pt>
                      <c:pt idx="1">
                        <c:v>26–35</c:v>
                      </c:pt>
                      <c:pt idx="2">
                        <c:v>36–45</c:v>
                      </c:pt>
                      <c:pt idx="3">
                        <c:v>46–55</c:v>
                      </c:pt>
                      <c:pt idx="4">
                        <c:v>56+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Excel_Analysis!$E$15:$E$20</c15:sqref>
                        </c15:fullRef>
                        <c15:formulaRef>
                          <c15:sqref>Excel_Analysis!$E$15:$E$19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154</c:v>
                      </c:pt>
                      <c:pt idx="1">
                        <c:v>173</c:v>
                      </c:pt>
                      <c:pt idx="2">
                        <c:v>208</c:v>
                      </c:pt>
                      <c:pt idx="3">
                        <c:v>201</c:v>
                      </c:pt>
                      <c:pt idx="4">
                        <c:v>264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6106-447B-A1B8-032E6346D835}"/>
                  </c:ext>
                </c:extLst>
              </c15:ser>
            </c15:filteredBarSeries>
          </c:ext>
        </c:extLst>
      </c:barChart>
      <c:catAx>
        <c:axId val="71881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4016"/>
        <c:crosses val="autoZero"/>
        <c:auto val="1"/>
        <c:lblAlgn val="ctr"/>
        <c:lblOffset val="100"/>
        <c:noMultiLvlLbl val="0"/>
      </c:catAx>
      <c:valAx>
        <c:axId val="718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Excel_Analysis!$E$23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Excel_Analysis!$E$24:$E$29</c:f>
              <c:numCache>
                <c:formatCode>General</c:formatCode>
                <c:ptCount val="6"/>
                <c:pt idx="0">
                  <c:v>176</c:v>
                </c:pt>
                <c:pt idx="1">
                  <c:v>194</c:v>
                </c:pt>
                <c:pt idx="2">
                  <c:v>175</c:v>
                </c:pt>
                <c:pt idx="3">
                  <c:v>163</c:v>
                </c:pt>
                <c:pt idx="4">
                  <c:v>159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4-4F2B-AEDC-B1B7408672C5}"/>
            </c:ext>
          </c:extLst>
        </c:ser>
        <c:ser>
          <c:idx val="1"/>
          <c:order val="1"/>
          <c:tx>
            <c:strRef>
              <c:f>Excel_Analysis!$F$23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Excel_Analysis!$F$24:$F$29</c:f>
              <c:numCache>
                <c:formatCode>General</c:formatCode>
                <c:ptCount val="6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4-4F2B-AEDC-B1B7408672C5}"/>
            </c:ext>
          </c:extLst>
        </c:ser>
        <c:ser>
          <c:idx val="2"/>
          <c:order val="2"/>
          <c:tx>
            <c:strRef>
              <c:f>Excel_Analysis!$G$23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Excel_Analysis!$D$24:$D$29</c:f>
              <c:strCache>
                <c:ptCount val="6"/>
                <c:pt idx="0">
                  <c:v>0–12</c:v>
                </c:pt>
                <c:pt idx="1">
                  <c:v>13–24</c:v>
                </c:pt>
                <c:pt idx="2">
                  <c:v>25–36</c:v>
                </c:pt>
                <c:pt idx="3">
                  <c:v>37–48</c:v>
                </c:pt>
                <c:pt idx="4">
                  <c:v>49–60</c:v>
                </c:pt>
                <c:pt idx="5">
                  <c:v>61+</c:v>
                </c:pt>
              </c:strCache>
            </c:strRef>
          </c:cat>
          <c:val>
            <c:numRef>
              <c:f>Excel_Analysis!$G$24:$G$29</c:f>
              <c:numCache>
                <c:formatCode>0.00%</c:formatCode>
                <c:ptCount val="6"/>
                <c:pt idx="0">
                  <c:v>9.6590909090909088E-2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4-4F2B-AEDC-B1B740867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87376"/>
        <c:axId val="718795296"/>
      </c:barChart>
      <c:catAx>
        <c:axId val="71878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5296"/>
        <c:crosses val="autoZero"/>
        <c:auto val="1"/>
        <c:lblAlgn val="ctr"/>
        <c:lblOffset val="100"/>
        <c:noMultiLvlLbl val="0"/>
      </c:catAx>
      <c:valAx>
        <c:axId val="7187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8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Number of Products</a:t>
            </a:r>
            <a:endParaRPr lang="en-US"/>
          </a:p>
        </c:rich>
      </c:tx>
      <c:layout>
        <c:manualLayout>
          <c:xMode val="edge"/>
          <c:yMode val="edge"/>
          <c:x val="0.1665494912118409"/>
          <c:y val="3.883495145631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Excel_Analysis!$D$33</c:f>
              <c:strCache>
                <c:ptCount val="1"/>
                <c:pt idx="0">
                  <c:v>Number of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Excel_Analysis!$D$34:$D$37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F-4B94-87E5-F12EEBC6365D}"/>
            </c:ext>
          </c:extLst>
        </c:ser>
        <c:ser>
          <c:idx val="1"/>
          <c:order val="1"/>
          <c:tx>
            <c:strRef>
              <c:f>Excel_Analysis!$E$33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Excel_Analysis!$E$34:$E$37</c:f>
              <c:numCache>
                <c:formatCode>General</c:formatCode>
                <c:ptCount val="4"/>
                <c:pt idx="0">
                  <c:v>245</c:v>
                </c:pt>
                <c:pt idx="1">
                  <c:v>259</c:v>
                </c:pt>
                <c:pt idx="2">
                  <c:v>262</c:v>
                </c:pt>
                <c:pt idx="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F-4B94-87E5-F12EEBC6365D}"/>
            </c:ext>
          </c:extLst>
        </c:ser>
        <c:ser>
          <c:idx val="2"/>
          <c:order val="2"/>
          <c:tx>
            <c:strRef>
              <c:f>Excel_Analysis!$F$33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Excel_Analysis!$F$34:$F$37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F-4B94-87E5-F12EEBC63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98536"/>
        <c:axId val="718802496"/>
      </c:barChart>
      <c:catAx>
        <c:axId val="718798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02496"/>
        <c:crosses val="autoZero"/>
        <c:auto val="1"/>
        <c:lblAlgn val="ctr"/>
        <c:lblOffset val="100"/>
        <c:noMultiLvlLbl val="0"/>
      </c:catAx>
      <c:valAx>
        <c:axId val="7188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Active Membership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Excel_Analysis!$D$43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Excel_Analysis!$E$42:$F$42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Excel_Analysis!$E$43:$F$43</c:f>
              <c:numCache>
                <c:formatCode>General</c:formatCode>
                <c:ptCount val="2"/>
                <c:pt idx="0">
                  <c:v>500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4-4259-AAFB-14D3C83355F7}"/>
            </c:ext>
          </c:extLst>
        </c:ser>
        <c:ser>
          <c:idx val="1"/>
          <c:order val="1"/>
          <c:tx>
            <c:strRef>
              <c:f>Excel_Analysis!$D$44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Excel_Analysis!$E$42:$F$42</c:f>
              <c:strCache>
                <c:ptCount val="2"/>
                <c:pt idx="0">
                  <c:v>Total Customers</c:v>
                </c:pt>
                <c:pt idx="1">
                  <c:v>Churned Customers</c:v>
                </c:pt>
              </c:strCache>
            </c:strRef>
          </c:cat>
          <c:val>
            <c:numRef>
              <c:f>Excel_Analysis!$E$44:$F$44</c:f>
              <c:numCache>
                <c:formatCode>General</c:formatCode>
                <c:ptCount val="2"/>
                <c:pt idx="0">
                  <c:v>500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4-4259-AAFB-14D3C8335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55904"/>
        <c:axId val="716048704"/>
      </c:barChart>
      <c:catAx>
        <c:axId val="7160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8704"/>
        <c:crosses val="autoZero"/>
        <c:auto val="1"/>
        <c:lblAlgn val="ctr"/>
        <c:lblOffset val="100"/>
        <c:noMultiLvlLbl val="0"/>
      </c:catAx>
      <c:valAx>
        <c:axId val="7160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Credit Card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Excel_Analysis!$D$49</c:f>
              <c:strCache>
                <c:ptCount val="1"/>
                <c:pt idx="0">
                  <c:v>No Credit 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Excel_Analysis!$E$48:$G$48</c:f>
              <c:strCache>
                <c:ptCount val="3"/>
                <c:pt idx="0">
                  <c:v>Total 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Excel_Analysis!$E$49:$G$49</c:f>
              <c:numCache>
                <c:formatCode>General</c:formatCode>
                <c:ptCount val="3"/>
                <c:pt idx="0">
                  <c:v>493</c:v>
                </c:pt>
                <c:pt idx="1">
                  <c:v>6</c:v>
                </c:pt>
                <c:pt idx="2" formatCode="0.00%">
                  <c:v>1.2170385395537525E-2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5-4AA5-816C-2223E4FD68A0}"/>
            </c:ext>
          </c:extLst>
        </c:ser>
        <c:ser>
          <c:idx val="1"/>
          <c:order val="1"/>
          <c:tx>
            <c:strRef>
              <c:f>Excel_Analysis!$D$50</c:f>
              <c:strCache>
                <c:ptCount val="1"/>
                <c:pt idx="0">
                  <c:v>Has 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Excel_Analysis!$E$48:$G$48</c:f>
              <c:strCache>
                <c:ptCount val="3"/>
                <c:pt idx="0">
                  <c:v>Total 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Excel_Analysis!$E$50:$G$50</c:f>
              <c:numCache>
                <c:formatCode>General</c:formatCode>
                <c:ptCount val="3"/>
                <c:pt idx="0">
                  <c:v>507</c:v>
                </c:pt>
                <c:pt idx="1">
                  <c:v>11</c:v>
                </c:pt>
                <c:pt idx="2" formatCode="0.00%">
                  <c:v>2.1696252465483234E-2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5-4AA5-816C-2223E4FD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799616"/>
        <c:axId val="718808256"/>
      </c:barChart>
      <c:catAx>
        <c:axId val="7187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808256"/>
        <c:crosses val="autoZero"/>
        <c:auto val="1"/>
        <c:lblAlgn val="ctr"/>
        <c:lblOffset val="100"/>
        <c:noMultiLvlLbl val="0"/>
      </c:catAx>
      <c:valAx>
        <c:axId val="7188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Balance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Excel_Analysis!$D$56:$D$60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Excel_Analysis!$E$56:$E$60</c:f>
              <c:numCache>
                <c:formatCode>General</c:formatCode>
                <c:ptCount val="5"/>
                <c:pt idx="0">
                  <c:v>198</c:v>
                </c:pt>
                <c:pt idx="1">
                  <c:v>189</c:v>
                </c:pt>
                <c:pt idx="2">
                  <c:v>205</c:v>
                </c:pt>
                <c:pt idx="3">
                  <c:v>194</c:v>
                </c:pt>
                <c:pt idx="4">
                  <c:v>214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E47-4041-8759-73C90D041C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Excel_Analysis!$D$56:$D$60</c:f>
              <c:strCache>
                <c:ptCount val="5"/>
                <c:pt idx="0">
                  <c:v>0–10K</c:v>
                </c:pt>
                <c:pt idx="1">
                  <c:v>10–20K</c:v>
                </c:pt>
                <c:pt idx="2">
                  <c:v>20–30K</c:v>
                </c:pt>
                <c:pt idx="3">
                  <c:v>30–40K</c:v>
                </c:pt>
                <c:pt idx="4">
                  <c:v>40K+</c:v>
                </c:pt>
              </c:strCache>
            </c:strRef>
          </c:cat>
          <c:val>
            <c:numRef>
              <c:f>Excel_Analysis!$F$56:$F$60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E47-4041-8759-73C90D04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53384"/>
        <c:axId val="71605374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Excel_Analysis!$D$56:$D$60</c15:sqref>
                        </c15:formulaRef>
                      </c:ext>
                    </c:extLst>
                    <c:strCache>
                      <c:ptCount val="5"/>
                      <c:pt idx="0">
                        <c:v>0–10K</c:v>
                      </c:pt>
                      <c:pt idx="1">
                        <c:v>10–20K</c:v>
                      </c:pt>
                      <c:pt idx="2">
                        <c:v>20–30K</c:v>
                      </c:pt>
                      <c:pt idx="3">
                        <c:v>30–40K</c:v>
                      </c:pt>
                      <c:pt idx="4">
                        <c:v>40K+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Excel_Analysis!$G$56:$G$60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8.5858585858585856E-2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FE47-4041-8759-73C90D041C2B}"/>
                  </c:ext>
                </c:extLst>
              </c15:ser>
            </c15:filteredBarSeries>
          </c:ext>
        </c:extLst>
      </c:barChart>
      <c:catAx>
        <c:axId val="71605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3744"/>
        <c:crosses val="autoZero"/>
        <c:auto val="1"/>
        <c:lblAlgn val="ctr"/>
        <c:lblOffset val="100"/>
        <c:noMultiLvlLbl val="0"/>
      </c:catAx>
      <c:valAx>
        <c:axId val="7160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5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Estimated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Excel_Analysis!$E$65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Excel_Analysis!$D$66:$D$68</c:f>
              <c:strCache>
                <c:ptCount val="3"/>
                <c:pt idx="0">
                  <c:v>0–50K</c:v>
                </c:pt>
                <c:pt idx="1">
                  <c:v>50–100K</c:v>
                </c:pt>
                <c:pt idx="2">
                  <c:v>100K+</c:v>
                </c:pt>
              </c:strCache>
            </c:strRef>
          </c:cat>
          <c:val>
            <c:numRef>
              <c:f>Excel_Analysis!$E$66:$E$68</c:f>
              <c:numCache>
                <c:formatCode>General</c:formatCode>
                <c:ptCount val="3"/>
                <c:pt idx="0">
                  <c:v>230</c:v>
                </c:pt>
                <c:pt idx="1">
                  <c:v>386</c:v>
                </c:pt>
                <c:pt idx="2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7-48D9-B01D-7613D894AF63}"/>
            </c:ext>
          </c:extLst>
        </c:ser>
        <c:ser>
          <c:idx val="1"/>
          <c:order val="1"/>
          <c:tx>
            <c:strRef>
              <c:f>Excel_Analysis!$F$65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Excel_Analysis!$D$66:$D$68</c:f>
              <c:strCache>
                <c:ptCount val="3"/>
                <c:pt idx="0">
                  <c:v>0–50K</c:v>
                </c:pt>
                <c:pt idx="1">
                  <c:v>50–100K</c:v>
                </c:pt>
                <c:pt idx="2">
                  <c:v>100K+</c:v>
                </c:pt>
              </c:strCache>
            </c:strRef>
          </c:cat>
          <c:val>
            <c:numRef>
              <c:f>Excel_Analysis!$F$66:$F$68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97-48D9-B01D-7613D894A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45824"/>
        <c:axId val="716046904"/>
      </c:barChart>
      <c:catAx>
        <c:axId val="7160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6904"/>
        <c:crosses val="autoZero"/>
        <c:auto val="1"/>
        <c:lblAlgn val="ctr"/>
        <c:lblOffset val="100"/>
        <c:noMultiLvlLbl val="0"/>
      </c:catAx>
      <c:valAx>
        <c:axId val="7160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Rate by Risk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Risk_Segmentation!$M$2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Risk_Segmentation!$N$2:$P$2</c:f>
              <c:numCache>
                <c:formatCode>General</c:formatCode>
                <c:ptCount val="3"/>
                <c:pt idx="0">
                  <c:v>603</c:v>
                </c:pt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9-4340-B694-88CA911BA901}"/>
            </c:ext>
          </c:extLst>
        </c:ser>
        <c:ser>
          <c:idx val="1"/>
          <c:order val="1"/>
          <c:tx>
            <c:strRef>
              <c:f>Risk_Segmentation!$M$3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Risk_Segmentation!$N$3:$P$3</c:f>
              <c:numCache>
                <c:formatCode>General</c:formatCode>
                <c:ptCount val="3"/>
                <c:pt idx="0">
                  <c:v>296</c:v>
                </c:pt>
                <c:pt idx="1">
                  <c:v>7</c:v>
                </c:pt>
                <c:pt idx="2" formatCode="0.00%">
                  <c:v>2.364864864864865E-2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9-4340-B694-88CA911BA901}"/>
            </c:ext>
          </c:extLst>
        </c:ser>
        <c:ser>
          <c:idx val="2"/>
          <c:order val="2"/>
          <c:tx>
            <c:strRef>
              <c:f>Risk_Segmentation!$M$4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Risk_Segmentation!$N$1:$P$1</c:f>
              <c:strCache>
                <c:ptCount val="3"/>
                <c:pt idx="0">
                  <c:v>Customers</c:v>
                </c:pt>
                <c:pt idx="1">
                  <c:v>Churned Customers</c:v>
                </c:pt>
                <c:pt idx="2">
                  <c:v>Churn Rate</c:v>
                </c:pt>
              </c:strCache>
            </c:strRef>
          </c:cat>
          <c:val>
            <c:numRef>
              <c:f>Risk_Segmentation!$N$4:$P$4</c:f>
              <c:numCache>
                <c:formatCode>General</c:formatCode>
                <c:ptCount val="3"/>
                <c:pt idx="0">
                  <c:v>101</c:v>
                </c:pt>
                <c:pt idx="1">
                  <c:v>10</c:v>
                </c:pt>
                <c:pt idx="2" formatCode="0.00%">
                  <c:v>9.9009900990099015E-2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9-4340-B694-88CA911B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41864"/>
        <c:axId val="716042224"/>
      </c:barChart>
      <c:catAx>
        <c:axId val="716041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2224"/>
        <c:crosses val="autoZero"/>
        <c:auto val="1"/>
        <c:lblAlgn val="ctr"/>
        <c:lblOffset val="100"/>
        <c:noMultiLvlLbl val="0"/>
      </c:catAx>
      <c:valAx>
        <c:axId val="7160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4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0</xdr:row>
      <xdr:rowOff>82550</xdr:rowOff>
    </xdr:from>
    <xdr:to>
      <xdr:col>13</xdr:col>
      <xdr:colOff>355600</xdr:colOff>
      <xdr:row>10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198AE-3C7E-F383-C4A6-EF4664E5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95249</xdr:colOff>
      <xdr:row>10</xdr:row>
      <xdr:rowOff>152400</xdr:rowOff>
    </xdr:from>
    <xdr:to>
      <xdr:col>13</xdr:col>
      <xdr:colOff>406400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66FCFC-948D-2372-7F9A-2D5CB559F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676275</xdr:colOff>
      <xdr:row>20</xdr:row>
      <xdr:rowOff>50800</xdr:rowOff>
    </xdr:from>
    <xdr:to>
      <xdr:col>14</xdr:col>
      <xdr:colOff>63500</xdr:colOff>
      <xdr:row>29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EC29E1-7A4A-B347-9ED1-EF1136CD1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130175</xdr:colOff>
      <xdr:row>29</xdr:row>
      <xdr:rowOff>158750</xdr:rowOff>
    </xdr:from>
    <xdr:to>
      <xdr:col>13</xdr:col>
      <xdr:colOff>279400</xdr:colOff>
      <xdr:row>39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AE080-9E63-A501-2C77-D30F46271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841375</xdr:colOff>
      <xdr:row>39</xdr:row>
      <xdr:rowOff>82550</xdr:rowOff>
    </xdr:from>
    <xdr:to>
      <xdr:col>13</xdr:col>
      <xdr:colOff>355600</xdr:colOff>
      <xdr:row>50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BD7B86-D580-E244-37BC-4DB38CD4F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736599</xdr:colOff>
      <xdr:row>50</xdr:row>
      <xdr:rowOff>120650</xdr:rowOff>
    </xdr:from>
    <xdr:to>
      <xdr:col>13</xdr:col>
      <xdr:colOff>422274</xdr:colOff>
      <xdr:row>60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BA63FA-3F4C-DBAA-BA4F-3B3F0F2CB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6349</xdr:colOff>
      <xdr:row>60</xdr:row>
      <xdr:rowOff>127000</xdr:rowOff>
    </xdr:from>
    <xdr:to>
      <xdr:col>13</xdr:col>
      <xdr:colOff>396874</xdr:colOff>
      <xdr:row>70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7B6911-1B83-839A-8BE5-E35D20D95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739775</xdr:colOff>
      <xdr:row>70</xdr:row>
      <xdr:rowOff>152400</xdr:rowOff>
    </xdr:from>
    <xdr:to>
      <xdr:col>13</xdr:col>
      <xdr:colOff>469900</xdr:colOff>
      <xdr:row>81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6226A6-5338-EDDB-7522-51D57DC40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120649</xdr:colOff>
      <xdr:row>82</xdr:row>
      <xdr:rowOff>120650</xdr:rowOff>
    </xdr:from>
    <xdr:to>
      <xdr:col>13</xdr:col>
      <xdr:colOff>396874</xdr:colOff>
      <xdr:row>92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0022F25-E1F1-559D-D20F-F3585BF1C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82549</xdr:colOff>
      <xdr:row>0</xdr:row>
      <xdr:rowOff>76200</xdr:rowOff>
    </xdr:from>
    <xdr:to>
      <xdr:col>22</xdr:col>
      <xdr:colOff>34924</xdr:colOff>
      <xdr:row>10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0FE8B-F0BE-EFA8-7106-468FEE15A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190A9-1A47-4EB6-B0A6-2CAF3407111D}" name="Table1" displayName="Table1" ref="A1:K1001" totalsRowShown="0" headerRowDxfId="18" dataDxfId="19">
  <autoFilter ref="A1:K1001" xr:uid="{D7D190A9-1A47-4EB6-B0A6-2CAF340711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E79A5BC-7A50-4680-8B4D-E0B2AFA8781F}" name="CustomerID" dataDxfId="29"/>
    <tableColumn id="2" xr3:uid="{9CC5CA66-4FA6-49A3-9CBF-45F9C4F95968}" name="Age" dataDxfId="28"/>
    <tableColumn id="3" xr3:uid="{5D48FC7A-2CDF-48A5-AD6B-9B6FC71E9C43}" name="Gender" dataDxfId="27"/>
    <tableColumn id="4" xr3:uid="{61A36549-3061-4078-9B11-241BE3456ED5}" name="Tenure_Months" dataDxfId="26"/>
    <tableColumn id="5" xr3:uid="{47DBB3BE-748F-47D2-85E4-357C8D39E58D}" name="Balance" dataDxfId="25"/>
    <tableColumn id="6" xr3:uid="{6D33BC6B-A92F-4473-AD42-C11703712345}" name="NumOfProducts" dataDxfId="24"/>
    <tableColumn id="7" xr3:uid="{0A6556BB-8E20-45A4-982B-7F4C654A5B2F}" name="HasCrCard" dataDxfId="23"/>
    <tableColumn id="8" xr3:uid="{F66D83BF-E5F5-4B2A-A4A4-ECF0FE2809B1}" name="IsActiveMember" dataDxfId="22"/>
    <tableColumn id="9" xr3:uid="{FE000427-1BE5-4576-9A07-8E0C20C1B125}" name="EstimatedSalary" dataDxfId="21"/>
    <tableColumn id="10" xr3:uid="{BCD3F11D-C941-41FB-9791-A4EE1269062F}" name="Churn" dataDxfId="20"/>
    <tableColumn id="11" xr3:uid="{E264FE8B-AF3D-409C-A48C-6A5CC828F42B}" name="Duplicate_Check">
      <calculatedColumnFormula>COUNTIF($A$2:$A$1001,A2)</calculatedColumn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FD890C-4465-4777-8161-5B40BA111EA6}" name="Table2" displayName="Table2" ref="A1:D36" totalsRowShown="0" headerRowDxfId="17">
  <autoFilter ref="A1:D36" xr:uid="{A7FD890C-4465-4777-8161-5B40BA111EA6}">
    <filterColumn colId="0" hiddenButton="1"/>
    <filterColumn colId="1" hiddenButton="1"/>
    <filterColumn colId="2" hiddenButton="1"/>
    <filterColumn colId="3" hiddenButton="1"/>
  </autoFilter>
  <tableColumns count="4">
    <tableColumn id="1" xr3:uid="{D2CCB9DA-AF49-4089-87A8-0183CF54113E}" name="Check"/>
    <tableColumn id="2" xr3:uid="{A5485A4E-A310-4AEF-BFAF-0C71EFC6DEEF}" name="Column"/>
    <tableColumn id="3" xr3:uid="{65279BCC-85F7-4044-A79F-A9A919F1FE18}" name="Result"/>
    <tableColumn id="4" xr3:uid="{7CA645FC-4037-4835-A610-C2BE60E59B0C}" name="Action Taken"/>
  </tableColumns>
  <tableStyleInfo name="TableStyleLight10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100E8-5A3A-4407-AE91-8A7241F32DB1}" name="Table3" displayName="Table3" ref="A1:H5" totalsRowShown="0" headerRowDxfId="16">
  <autoFilter ref="A1:H5" xr:uid="{7F1100E8-5A3A-4407-AE91-8A7241F32D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DC62C7-14C8-49EB-9155-C33159DF778A}" name="Variable"/>
    <tableColumn id="2" xr3:uid="{E4F0AC19-4966-4112-A9EC-75D47281F5FC}" name="Q1"/>
    <tableColumn id="3" xr3:uid="{8A6D50CA-957F-4F98-994E-63A0F2ABFE2E}" name="Q3"/>
    <tableColumn id="4" xr3:uid="{E0937D75-8FFE-4CE0-93D7-CC7E7F1A19F7}" name="IQR">
      <calculatedColumnFormula>C2-B2</calculatedColumnFormula>
    </tableColumn>
    <tableColumn id="5" xr3:uid="{0EE91F95-7C4A-456E-8D72-431D6BD37D84}" name="LOWER BOUND">
      <calculatedColumnFormula>B2-1.5*D2</calculatedColumnFormula>
    </tableColumn>
    <tableColumn id="6" xr3:uid="{A23A4242-B1E6-4500-80BF-E2F0A9DBAE43}" name="UPPER BOUND">
      <calculatedColumnFormula>C2+1.5*D2</calculatedColumnFormula>
    </tableColumn>
    <tableColumn id="7" xr3:uid="{C55F7206-E1EF-4D0C-9A74-8245F93CC4EB}" name="OUTLIER COUNT"/>
    <tableColumn id="8" xr3:uid="{8EA4D22B-25B5-4F88-AE40-549CA769546A}" name="DECISION">
      <calculatedColumnFormula>IF(G2=0,"No IQR outliers","Outliers identified - investigate")</calculatedColumnFormula>
    </tableColumn>
  </tableColumns>
  <tableStyleInfo name="TableStyleLight12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B4295-CD9F-4166-A700-85AB1FE7B872}" name="Table4" displayName="Table4" ref="A1:E11" totalsRowShown="0" headerRowDxfId="9" dataDxfId="10">
  <autoFilter ref="A1:E11" xr:uid="{61CB4295-CD9F-4166-A700-85AB1FE7B87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2EED0CE-D33E-4E9E-8277-E02DB9A18895}" name="Variable" dataDxfId="15"/>
    <tableColumn id="2" xr3:uid="{CCF52E58-5A90-4228-86DA-6D9F445E9588}" name="Description" dataDxfId="14"/>
    <tableColumn id="3" xr3:uid="{B3911C89-B783-4AF9-8B77-1D440CDBD1C1}" name="Data Type" dataDxfId="13"/>
    <tableColumn id="4" xr3:uid="{353F0648-AD2D-4E9F-9B4C-4802AF1FD1B7}" name="Measurement/Values" dataDxfId="12"/>
    <tableColumn id="5" xr3:uid="{EFD5BE7A-0AEB-4D96-8F25-1D95005BE62B}" name="Role" dataDxfId="11"/>
  </tableColumns>
  <tableStyleInfo name="TableStyleLight14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E1A706-989A-44A0-97B2-232F1D4BA127}" name="Table5" displayName="Table5" ref="A3:B8" totalsRowShown="0">
  <autoFilter ref="A3:B8" xr:uid="{B5E1A706-989A-44A0-97B2-232F1D4BA127}">
    <filterColumn colId="0" hiddenButton="1"/>
    <filterColumn colId="1" hiddenButton="1"/>
  </autoFilter>
  <tableColumns count="2">
    <tableColumn id="1" xr3:uid="{6EF29535-14B4-4DD9-9DBF-001943D38EB5}" name="KPI"/>
    <tableColumn id="2" xr3:uid="{F0619240-91D3-4E31-A20B-E4CE1C1F1E7E}" name="Value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44A8A4-6802-49BC-B4F6-2B7A7AD9B714}" name="Table6" displayName="Table6" ref="D3:E5" totalsRowShown="0">
  <autoFilter ref="D3:E5" xr:uid="{8744A8A4-6802-49BC-B4F6-2B7A7AD9B714}">
    <filterColumn colId="0" hiddenButton="1"/>
    <filterColumn colId="1" hiddenButton="1"/>
  </autoFilter>
  <tableColumns count="2">
    <tableColumn id="1" xr3:uid="{52FDE514-B594-4163-9300-D6D25350E603}" name="Churn Status"/>
    <tableColumn id="2" xr3:uid="{E8819EB9-72AA-4CBC-86DE-8B4746F8588B}" name="Customers">
      <calculatedColumnFormula>COUNTIF(Raw_Data!J1:J1000,1)</calculatedColumnFormula>
    </tableColumn>
  </tableColumns>
  <tableStyleInfo name="TableStyleLight10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A3635C-B403-4E55-BD15-C73047B3AA95}" name="Table7" displayName="Table7" ref="D8:G11" totalsRowShown="0">
  <autoFilter ref="D8:G11" xr:uid="{39A3635C-B403-4E55-BD15-C73047B3AA95}">
    <filterColumn colId="0" hiddenButton="1"/>
    <filterColumn colId="1" hiddenButton="1"/>
    <filterColumn colId="2" hiddenButton="1"/>
    <filterColumn colId="3" hiddenButton="1"/>
  </autoFilter>
  <tableColumns count="4">
    <tableColumn id="1" xr3:uid="{2879921A-FA6D-4932-AF97-51E49C31FA54}" name="Gender"/>
    <tableColumn id="2" xr3:uid="{F38C7A49-F444-4D79-BDB6-68336F1A0EE4}" name="Total Customers"/>
    <tableColumn id="3" xr3:uid="{7CD2D734-9F64-4752-B773-AD5DB00D991B}" name="Churned Customers"/>
    <tableColumn id="4" xr3:uid="{A6AF12DC-BDC6-42E0-8966-F96B6660D515}" name="Churn Rate" dataDxfId="8">
      <calculatedColumnFormula>F9/E9</calculatedColumnFormula>
    </tableColumn>
  </tableColumns>
  <tableStyleInfo name="TableStyleLight12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F6317-8B51-4966-BF63-6DEBAF9DB3F7}" name="Table8" displayName="Table8" ref="A10:B15" totalsRowShown="0">
  <autoFilter ref="A10:B15" xr:uid="{B55F6317-8B51-4966-BF63-6DEBAF9DB3F7}">
    <filterColumn colId="0" hiddenButton="1"/>
    <filterColumn colId="1" hiddenButton="1"/>
  </autoFilter>
  <tableColumns count="2">
    <tableColumn id="1" xr3:uid="{5FC498A3-A81D-44B3-B8C9-871E5A0AF897}" name="Column1"/>
    <tableColumn id="2" xr3:uid="{4BABDB2E-020D-4FE1-A396-8005B6017AEB}" name="Column2"/>
  </tableColumns>
  <tableStyleInfo name="TableStyleLight14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1A8483-93A8-419F-8603-59AB938A62D1}" name="Table9" displayName="Table9" ref="D14:H20" totalsRowShown="0">
  <autoFilter ref="D14:H20" xr:uid="{E81A8483-93A8-419F-8603-59AB938A62D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0248EE-946E-49F8-91B1-AA25A9C753BC}" name="Age Group"/>
    <tableColumn id="2" xr3:uid="{FA7A362F-B560-4A38-AEF8-0B4868420BFD}" name="Total Customers"/>
    <tableColumn id="3" xr3:uid="{2127FA7F-6E9B-4AD5-9D8F-4689CC0C4F42}" name="Churned Customers"/>
    <tableColumn id="4" xr3:uid="{8628A532-A089-4208-A65B-55949388CB0B}" name="Churn Rate" dataDxfId="7">
      <calculatedColumnFormula>F15/E15</calculatedColumnFormula>
    </tableColumn>
    <tableColumn id="5" xr3:uid="{F3E9460E-8565-4BC6-AC68-81B5595DD9C4}" name="Interpretation"/>
  </tableColumns>
  <tableStyleInfo name="TableStyleLight13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E99316-80C8-49F2-BB5F-06BB0990CC57}" name="Table10" displayName="Table10" ref="D23:G30" totalsRowShown="0">
  <autoFilter ref="D23:G30" xr:uid="{21E99316-80C8-49F2-BB5F-06BB0990CC57}">
    <filterColumn colId="0" hiddenButton="1"/>
    <filterColumn colId="1" hiddenButton="1"/>
    <filterColumn colId="2" hiddenButton="1"/>
    <filterColumn colId="3" hiddenButton="1"/>
  </autoFilter>
  <tableColumns count="4">
    <tableColumn id="1" xr3:uid="{451948B9-7C8E-42DB-9F1B-8FEFB05D90C7}" name="Tenure Group"/>
    <tableColumn id="2" xr3:uid="{F1EB01B0-E125-48FC-9F98-317392E65625}" name="Total Customers"/>
    <tableColumn id="3" xr3:uid="{26D24D88-AA71-4F1C-81BA-4535473B2625}" name="Churned Customers"/>
    <tableColumn id="4" xr3:uid="{ED47C435-7FA7-4EF7-A3B1-E35DA21401BF}" name="Churn Rate" dataDxfId="6">
      <calculatedColumnFormula>F24/E24</calculatedColumnFormula>
    </tableColumn>
  </tableColumns>
  <tableStyleInfo name="TableStyleLight10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85EF35-AA90-4274-A0D7-C70A859A0E58}" name="Table11" displayName="Table11" ref="D33:G38" totalsRowShown="0">
  <autoFilter ref="D33:G38" xr:uid="{1385EF35-AA90-4274-A0D7-C70A859A0E58}">
    <filterColumn colId="0" hiddenButton="1"/>
    <filterColumn colId="1" hiddenButton="1"/>
    <filterColumn colId="2" hiddenButton="1"/>
    <filterColumn colId="3" hiddenButton="1"/>
  </autoFilter>
  <tableColumns count="4">
    <tableColumn id="1" xr3:uid="{C1FDCE83-F634-47A4-891B-7E7BA2DC102F}" name="Number of Products"/>
    <tableColumn id="2" xr3:uid="{D48FB224-4E28-412F-A3C6-2ECBA56D4E57}" name="Total Customers"/>
    <tableColumn id="3" xr3:uid="{C1333077-12FA-4717-BFE3-34D154C33848}" name="Churned Customers"/>
    <tableColumn id="4" xr3:uid="{DEB456D3-AE0A-4CAA-920D-B29DF4E7FAB9}" name="Churn Rate" dataDxfId="5">
      <calculatedColumnFormula>F34/E34</calculatedColumnFormula>
    </tableColumn>
  </tableColumns>
  <tableStyleInfo name="TableStyleLight11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372C70-AEAB-4DF2-9F26-CB1447D1C9CB}" name="Table12" displayName="Table12" ref="D42:G45" totalsRowShown="0">
  <autoFilter ref="D42:G45" xr:uid="{4B372C70-AEAB-4DF2-9F26-CB1447D1C9CB}">
    <filterColumn colId="0" hiddenButton="1"/>
    <filterColumn colId="1" hiddenButton="1"/>
    <filterColumn colId="2" hiddenButton="1"/>
    <filterColumn colId="3" hiddenButton="1"/>
  </autoFilter>
  <tableColumns count="4">
    <tableColumn id="1" xr3:uid="{75DECE5C-AEB6-4F50-8F77-170BBF9A2F57}" name="Active Member Status"/>
    <tableColumn id="2" xr3:uid="{86EF5932-9122-4EFE-B8B5-91569329785F}" name="Total Customers"/>
    <tableColumn id="3" xr3:uid="{04574FD6-6A33-4CC2-880C-B7ADDAA3C9D8}" name="Churned Customers"/>
    <tableColumn id="4" xr3:uid="{92F585B7-0A36-4E5B-A8AE-C2CEE8AF00C5}" name="Churn Rate" dataDxfId="4">
      <calculatedColumnFormula>F43/E43</calculatedColumnFormula>
    </tableColumn>
  </tableColumns>
  <tableStyleInfo name="TableStyleLight12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ACB2C1-EEEB-4B78-84A4-BDCECB42066E}" name="Table13" displayName="Table13" ref="D48:G51" totalsRowShown="0">
  <autoFilter ref="D48:G51" xr:uid="{51ACB2C1-EEEB-4B78-84A4-BDCECB42066E}">
    <filterColumn colId="0" hiddenButton="1"/>
    <filterColumn colId="1" hiddenButton="1"/>
    <filterColumn colId="2" hiddenButton="1"/>
    <filterColumn colId="3" hiddenButton="1"/>
  </autoFilter>
  <tableColumns count="4">
    <tableColumn id="1" xr3:uid="{EFAE945E-1C05-4ADA-86E0-B9C9AF051673}" name="Credit Card Status"/>
    <tableColumn id="2" xr3:uid="{064CD879-F963-43B3-BEC0-78A1E2B5FCCC}" name="Total Customers"/>
    <tableColumn id="3" xr3:uid="{4D41B2B1-7156-4234-9964-3E89C7B85259}" name="Churned Customers"/>
    <tableColumn id="4" xr3:uid="{DB8F31AF-BA15-4453-B12D-700A9628E2A9}" name="Churn Rate" dataDxfId="3">
      <calculatedColumnFormula>F49/E49</calculatedColumnFormula>
    </tableColumn>
  </tableColumns>
  <tableStyleInfo name="TableStyleLight14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3808E2-8005-4B82-8C13-FAA4BD911F71}" name="Table14" displayName="Table14" ref="D55:G61" totalsRowShown="0">
  <autoFilter ref="D55:G61" xr:uid="{AD3808E2-8005-4B82-8C13-FAA4BD911F71}">
    <filterColumn colId="0" hiddenButton="1"/>
    <filterColumn colId="1" hiddenButton="1"/>
    <filterColumn colId="2" hiddenButton="1"/>
    <filterColumn colId="3" hiddenButton="1"/>
  </autoFilter>
  <tableColumns count="4">
    <tableColumn id="1" xr3:uid="{1B32C3D5-47AD-4C15-BAE7-2A87E19A5BAE}" name="Balance Group"/>
    <tableColumn id="2" xr3:uid="{44879C8F-E144-4D92-AF5A-ABBF12C6527A}" name="Total Customers"/>
    <tableColumn id="3" xr3:uid="{ACE5C090-2F1A-48A1-8CFD-5726BF188B95}" name="Churned Customers"/>
    <tableColumn id="4" xr3:uid="{8B1CB79D-2927-4AA7-B8D1-04ECA1A483C1}" name="Churn Rate" dataDxfId="2">
      <calculatedColumnFormula>F56/E56</calculatedColumnFormula>
    </tableColumn>
  </tableColumns>
  <tableStyleInfo name="TableStyleLight9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7C3BF4-F115-4CD0-A809-6188F2958AF9}" name="Table15" displayName="Table15" ref="D65:G69" totalsRowShown="0">
  <autoFilter ref="D65:G69" xr:uid="{207C3BF4-F115-4CD0-A809-6188F2958AF9}">
    <filterColumn colId="0" hiddenButton="1"/>
    <filterColumn colId="1" hiddenButton="1"/>
    <filterColumn colId="2" hiddenButton="1"/>
    <filterColumn colId="3" hiddenButton="1"/>
  </autoFilter>
  <tableColumns count="4">
    <tableColumn id="1" xr3:uid="{BE63108E-2412-4A60-84A4-292EE43AE891}" name="Salary Group"/>
    <tableColumn id="2" xr3:uid="{C76056CC-4C93-456C-A0D5-3EFA22C74CF9}" name="Total Customers"/>
    <tableColumn id="3" xr3:uid="{A241CFA3-76E8-46AD-9115-D4AB570F1E4F}" name="Churned Customers"/>
    <tableColumn id="4" xr3:uid="{8AB2044B-9762-4630-BE17-65D23F91DD03}" name="Churn Rate" dataDxfId="1">
      <calculatedColumnFormula>F66/E66</calculatedColumnFormula>
    </tableColumn>
  </tableColumns>
  <tableStyleInfo name="TableStyleLight12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95138D3-98BD-4F6E-9A3E-76B819DF1478}" name="Table16" displayName="Table16" ref="A1:K1001" totalsRowShown="0">
  <autoFilter ref="A1:K1001" xr:uid="{E95138D3-98BD-4F6E-9A3E-76B819DF14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6D9BF0C-F078-4D86-A6BE-AF10AF5B5A65}" name="CustomerID">
      <calculatedColumnFormula>Raw_Data!A2</calculatedColumnFormula>
    </tableColumn>
    <tableColumn id="2" xr3:uid="{89D90DA0-8D05-46E2-A007-4B53A93E5C0B}" name="Age">
      <calculatedColumnFormula>Raw_Data!B2</calculatedColumnFormula>
    </tableColumn>
    <tableColumn id="3" xr3:uid="{DA238C78-477D-4AF1-9A32-5E0F7D22F767}" name="Tenure">
      <calculatedColumnFormula>Raw_Data!D2</calculatedColumnFormula>
    </tableColumn>
    <tableColumn id="4" xr3:uid="{04997286-744E-4CDE-B19C-5F983EEF7E51}" name="Products">
      <calculatedColumnFormula>Raw_Data!F2</calculatedColumnFormula>
    </tableColumn>
    <tableColumn id="5" xr3:uid="{5C63E744-4EE5-40D1-8B41-862A032ABD5F}" name="Active Member">
      <calculatedColumnFormula>Raw_Data!H2</calculatedColumnFormula>
    </tableColumn>
    <tableColumn id="6" xr3:uid="{F284E6EA-95A9-4E50-A432-49AFC6E214B6}" name="Credit Card">
      <calculatedColumnFormula>Raw_Data!G2</calculatedColumnFormula>
    </tableColumn>
    <tableColumn id="7" xr3:uid="{0BC51D1F-3623-4CDE-A3EA-6857B6DC706A}" name="Balance">
      <calculatedColumnFormula>Raw_Data!E2</calculatedColumnFormula>
    </tableColumn>
    <tableColumn id="8" xr3:uid="{1B73D88A-D9F1-4FCD-8215-80D417C820BE}" name="Salary">
      <calculatedColumnFormula>Raw_Data!I2</calculatedColumnFormula>
    </tableColumn>
    <tableColumn id="9" xr3:uid="{675530FA-C2D5-4BCB-81EC-8B062E41E2FC}" name="Churn">
      <calculatedColumnFormula>Raw_Data!J2</calculatedColumnFormula>
    </tableColumn>
    <tableColumn id="10" xr3:uid="{CEBBF886-83F1-4AE8-A470-ED4A9BB5D8D1}" name="Risk Score">
      <calculatedColumnFormula>IF(E2=0,2,0)+IF(D2=4,2,0)+IF(C2&lt;=12,2,0)+IF(B2&gt;=56,1,0)+IF(G2&gt;=40000,1,0)</calculatedColumnFormula>
    </tableColumn>
    <tableColumn id="11" xr3:uid="{44CEBB72-98F8-47E3-918A-59E4DADE0878}" name="Risk Level">
      <calculatedColumnFormula>IF(J2&gt;=5,"High Risk",IF(J2&gt;=3,"Medium Risk","Low Risk"))</calculatedColumnFormula>
    </tableColumn>
  </tableColumns>
  <tableStyleInfo name="TableStyleLight9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BE9BB7C-CBC8-4A52-BD1C-A925E3C0133C}" name="Table17" displayName="Table17" ref="M1:P5" totalsRowShown="0">
  <autoFilter ref="M1:P5" xr:uid="{FBE9BB7C-CBC8-4A52-BD1C-A925E3C0133C}">
    <filterColumn colId="0" hiddenButton="1"/>
    <filterColumn colId="1" hiddenButton="1"/>
    <filterColumn colId="2" hiddenButton="1"/>
    <filterColumn colId="3" hiddenButton="1"/>
  </autoFilter>
  <tableColumns count="4">
    <tableColumn id="1" xr3:uid="{37441CBD-39B0-4E17-BDF6-2A073945F674}" name="Risk Level"/>
    <tableColumn id="2" xr3:uid="{FF69146E-F607-4268-9121-C0D466A6F066}" name="Customers"/>
    <tableColumn id="3" xr3:uid="{97B32939-D003-4D3B-B4FB-D7EBF8017B90}" name="Churned Customers"/>
    <tableColumn id="4" xr3:uid="{9B2C40A6-C2B0-4C1D-AA09-D639624D5615}" name="Churn Rate" dataDxfId="0">
      <calculatedColumnFormula>O2/N2</calculatedColumnFormula>
    </tableColumn>
  </tableColumns>
  <tableStyleInfo name="TableStyleLight10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88FFD1C-EFC6-44C7-B839-AAFBF18DCA7C}" name="Table19" displayName="Table19" ref="A2:C4" totalsRowShown="0">
  <autoFilter ref="A2:C4" xr:uid="{F88FFD1C-EFC6-44C7-B839-AAFBF18DCA7C}">
    <filterColumn colId="0" hiddenButton="1"/>
    <filterColumn colId="1" hiddenButton="1"/>
    <filterColumn colId="2" hiddenButton="1"/>
  </autoFilter>
  <tableColumns count="3">
    <tableColumn id="1" xr3:uid="{3883EF8F-F8DD-4076-8C12-F58B5AB57651}" name="Status"/>
    <tableColumn id="2" xr3:uid="{2ED59FF5-7905-44D8-AD20-6ED91BCE2586}" name="Not Churned">
      <calculatedColumnFormula>COUNTIFS(Raw_Data!H1:H1000,1,Raw_Data!J1:J1000,0)</calculatedColumnFormula>
    </tableColumn>
    <tableColumn id="3" xr3:uid="{1DFF4A86-2AB4-4FD3-B582-B1F897D07E21}" name="Churned">
      <calculatedColumnFormula>COUNTIFS(Raw_Data!H1:H1000,1,Raw_Data!J1:J1000,1)</calculatedColumnFormula>
    </tableColumn>
  </tableColumns>
  <tableStyleInfo name="TableStyleLight9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BA6C1F-77EC-438D-B907-70A8CA82EE63}" name="Table20" displayName="Table20" ref="A8:C13" totalsRowShown="0">
  <autoFilter ref="A8:C13" xr:uid="{B6BA6C1F-77EC-438D-B907-70A8CA82EE63}">
    <filterColumn colId="0" hiddenButton="1"/>
    <filterColumn colId="1" hiddenButton="1"/>
    <filterColumn colId="2" hiddenButton="1"/>
  </autoFilter>
  <tableColumns count="3">
    <tableColumn id="1" xr3:uid="{9C2B474F-9F15-4FBF-A987-EACAFDB166EC}" name="Products"/>
    <tableColumn id="2" xr3:uid="{46D6261D-A84B-4ABB-A621-4DF2B8F49F99}" name="Not Churned"/>
    <tableColumn id="3" xr3:uid="{87DE38AB-81E2-4B27-A12F-8E7D28498655}" name="Churned"/>
  </tableColumns>
  <tableStyleInfo name="TableStyleLight10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3BCFF3-6644-4158-86DC-91C22191B5FC}" name="Table21" displayName="Table21" ref="A22:D27" totalsRowShown="0">
  <autoFilter ref="A22:D27" xr:uid="{FD3BCFF3-6644-4158-86DC-91C22191B5FC}">
    <filterColumn colId="0" hiddenButton="1"/>
    <filterColumn colId="1" hiddenButton="1"/>
    <filterColumn colId="2" hiddenButton="1"/>
    <filterColumn colId="3" hiddenButton="1"/>
  </autoFilter>
  <tableColumns count="4">
    <tableColumn id="1" xr3:uid="{8EC8265E-996C-465D-A33B-1F81BADA8FE9}" name="Products"/>
    <tableColumn id="2" xr3:uid="{BFFF7E9D-F026-4F8B-87BB-79ACA97F28F0}" name="Not Churned"/>
    <tableColumn id="3" xr3:uid="{020A7457-8F7E-47FA-85F6-1FD0182DA81E}" name="Churned"/>
    <tableColumn id="4" xr3:uid="{039EDDA9-475D-4766-8B75-13E9FDB19534}" name="Total">
      <calculatedColumnFormula>SUM(B23:C23)</calculatedColumnFormula>
    </tableColumn>
  </tableColumns>
  <tableStyleInfo name="TableStyleLight12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D5DBB9-2685-4E25-819A-ED22F3E115C4}" name="Table22" displayName="Table22" ref="F22:H27" totalsRowShown="0">
  <autoFilter ref="F22:H27" xr:uid="{F9D5DBB9-2685-4E25-819A-ED22F3E115C4}">
    <filterColumn colId="0" hiddenButton="1"/>
    <filterColumn colId="1" hiddenButton="1"/>
    <filterColumn colId="2" hiddenButton="1"/>
  </autoFilter>
  <tableColumns count="3">
    <tableColumn id="1" xr3:uid="{CA5DE6BC-76C0-4594-A00A-927A04226487}" name="Products"/>
    <tableColumn id="2" xr3:uid="{E77A43FF-327A-48CD-80CF-63DF7DDFB7E4}" name="Not Churned">
      <calculatedColumnFormula>D23*$B$27/$D$27</calculatedColumnFormula>
    </tableColumn>
    <tableColumn id="3" xr3:uid="{646488FD-AF7B-495F-BCA1-B9C79FFEDCA0}" name="Churned">
      <calculatedColumnFormula>D23*$C$27/$D$27</calculatedColumnFormula>
    </tableColumn>
  </tableColumns>
  <tableStyleInfo name="TableStyleLight10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9F8CA66-2C85-46FE-B102-EB59D38E25D0}" name="Table23" displayName="Table23" ref="A42:D45" totalsRowShown="0">
  <autoFilter ref="A42:D45" xr:uid="{59F8CA66-2C85-46FE-B102-EB59D38E25D0}">
    <filterColumn colId="0" hiddenButton="1"/>
    <filterColumn colId="1" hiddenButton="1"/>
    <filterColumn colId="2" hiddenButton="1"/>
    <filterColumn colId="3" hiddenButton="1"/>
  </autoFilter>
  <tableColumns count="4">
    <tableColumn id="1" xr3:uid="{4D539976-6A7F-4CDF-BE2F-2EAF27222389}" name="Status"/>
    <tableColumn id="2" xr3:uid="{1A4526C6-C132-4E12-B12F-652D44BCE995}" name="Not Churned"/>
    <tableColumn id="3" xr3:uid="{85A8F332-BEF4-427D-BB99-2E6457F15CC2}" name="Churned"/>
    <tableColumn id="4" xr3:uid="{3DE2E2CE-1D6B-4A22-BB42-CFAFD10500A6}" name="Total">
      <calculatedColumnFormula>SUM(B43:C43)</calculatedColumnFormula>
    </tableColumn>
  </tableColumns>
  <tableStyleInfo name="TableStyleLight14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AA0C060-6450-459C-851A-0E187860417B}" name="Table24" displayName="Table24" ref="F42:H45" totalsRowShown="0">
  <autoFilter ref="F42:H45" xr:uid="{9AA0C060-6450-459C-851A-0E187860417B}">
    <filterColumn colId="0" hiddenButton="1"/>
    <filterColumn colId="1" hiddenButton="1"/>
    <filterColumn colId="2" hiddenButton="1"/>
  </autoFilter>
  <tableColumns count="3">
    <tableColumn id="1" xr3:uid="{AC093BCB-8D30-42A9-93A1-647129A13091}" name="Status"/>
    <tableColumn id="2" xr3:uid="{1106A06A-B2F6-407D-92E9-D00C81F5FEA9}" name="Expected Not Churned"/>
    <tableColumn id="3" xr3:uid="{1DA581E2-44B3-47EB-881B-3616ABCAE470}" name="Expected Churned">
      <calculatedColumnFormula>D43*$C$45/$D$45</calculatedColumnFormula>
    </tableColumn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62DA-AD72-4A49-9216-FB18872FBF19}">
  <dimension ref="A1:K1001"/>
  <sheetViews>
    <sheetView tabSelected="1" workbookViewId="0">
      <selection activeCell="H5" sqref="H5"/>
    </sheetView>
  </sheetViews>
  <sheetFormatPr defaultRowHeight="14.5" x14ac:dyDescent="0.35"/>
  <cols>
    <col min="1" max="1" width="13.6328125" customWidth="1"/>
    <col min="2" max="2" width="6.26953125" customWidth="1"/>
    <col min="3" max="3" width="9.54296875" customWidth="1"/>
    <col min="4" max="4" width="17.453125" customWidth="1"/>
    <col min="5" max="5" width="9.90625" customWidth="1"/>
    <col min="6" max="6" width="17.54296875" customWidth="1"/>
    <col min="7" max="7" width="12.453125" customWidth="1"/>
    <col min="8" max="8" width="17.81640625" customWidth="1"/>
    <col min="9" max="9" width="17.54296875" customWidth="1"/>
    <col min="10" max="10" width="8.36328125" customWidth="1"/>
    <col min="11" max="11" width="18" customWidth="1"/>
  </cols>
  <sheetData>
    <row r="1" spans="1:11" ht="15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17</v>
      </c>
    </row>
    <row r="2" spans="1:11" x14ac:dyDescent="0.35">
      <c r="A2" s="1">
        <v>1</v>
      </c>
      <c r="B2" s="1">
        <v>56</v>
      </c>
      <c r="C2" s="1" t="s">
        <v>10</v>
      </c>
      <c r="D2" s="1">
        <v>40</v>
      </c>
      <c r="E2" s="1">
        <v>41393.42</v>
      </c>
      <c r="F2" s="1">
        <v>3</v>
      </c>
      <c r="G2" s="1">
        <v>1</v>
      </c>
      <c r="H2" s="1">
        <v>1</v>
      </c>
      <c r="I2" s="1">
        <v>101505.9</v>
      </c>
      <c r="J2" s="1">
        <v>0</v>
      </c>
      <c r="K2">
        <f>COUNTIF($A$2:$A$1001,A2)</f>
        <v>1</v>
      </c>
    </row>
    <row r="3" spans="1:11" x14ac:dyDescent="0.35">
      <c r="A3" s="1">
        <v>2</v>
      </c>
      <c r="B3" s="1">
        <v>69</v>
      </c>
      <c r="C3" s="1" t="s">
        <v>10</v>
      </c>
      <c r="D3" s="1">
        <v>45</v>
      </c>
      <c r="E3" s="1">
        <v>39385.65</v>
      </c>
      <c r="F3" s="1">
        <v>2</v>
      </c>
      <c r="G3" s="1">
        <v>1</v>
      </c>
      <c r="H3" s="1">
        <v>0</v>
      </c>
      <c r="I3" s="1">
        <v>125091.33</v>
      </c>
      <c r="J3" s="1">
        <v>0</v>
      </c>
      <c r="K3">
        <f t="shared" ref="K3:K66" si="0">COUNTIF($A$2:$A$1001,A3)</f>
        <v>1</v>
      </c>
    </row>
    <row r="4" spans="1:11" x14ac:dyDescent="0.35">
      <c r="A4" s="1">
        <v>3</v>
      </c>
      <c r="B4" s="1">
        <v>46</v>
      </c>
      <c r="C4" s="1" t="s">
        <v>10</v>
      </c>
      <c r="D4" s="1">
        <v>62</v>
      </c>
      <c r="E4" s="1">
        <v>31221.27</v>
      </c>
      <c r="F4" s="1">
        <v>2</v>
      </c>
      <c r="G4" s="1">
        <v>0</v>
      </c>
      <c r="H4" s="1">
        <v>1</v>
      </c>
      <c r="I4" s="1">
        <v>99514.03</v>
      </c>
      <c r="J4" s="1">
        <v>0</v>
      </c>
      <c r="K4">
        <f t="shared" si="0"/>
        <v>1</v>
      </c>
    </row>
    <row r="5" spans="1:11" x14ac:dyDescent="0.35">
      <c r="A5" s="1">
        <v>4</v>
      </c>
      <c r="B5" s="1">
        <v>32</v>
      </c>
      <c r="C5" s="1" t="s">
        <v>11</v>
      </c>
      <c r="D5" s="1">
        <v>58</v>
      </c>
      <c r="E5" s="1">
        <v>24724.06</v>
      </c>
      <c r="F5" s="1">
        <v>3</v>
      </c>
      <c r="G5" s="1">
        <v>0</v>
      </c>
      <c r="H5" s="1">
        <v>1</v>
      </c>
      <c r="I5" s="1">
        <v>58447.18</v>
      </c>
      <c r="J5" s="1">
        <v>0</v>
      </c>
      <c r="K5">
        <f t="shared" si="0"/>
        <v>1</v>
      </c>
    </row>
    <row r="6" spans="1:11" x14ac:dyDescent="0.35">
      <c r="A6" s="1">
        <v>5</v>
      </c>
      <c r="B6" s="1">
        <v>60</v>
      </c>
      <c r="C6" s="1" t="s">
        <v>10</v>
      </c>
      <c r="D6" s="1">
        <v>67</v>
      </c>
      <c r="E6" s="1">
        <v>48977.54</v>
      </c>
      <c r="F6" s="1">
        <v>3</v>
      </c>
      <c r="G6" s="1">
        <v>1</v>
      </c>
      <c r="H6" s="1">
        <v>1</v>
      </c>
      <c r="I6" s="1">
        <v>53246.68</v>
      </c>
      <c r="J6" s="1">
        <v>0</v>
      </c>
      <c r="K6">
        <f t="shared" si="0"/>
        <v>1</v>
      </c>
    </row>
    <row r="7" spans="1:11" x14ac:dyDescent="0.35">
      <c r="A7" s="1">
        <v>6</v>
      </c>
      <c r="B7" s="1">
        <v>25</v>
      </c>
      <c r="C7" s="1" t="s">
        <v>10</v>
      </c>
      <c r="D7" s="1">
        <v>56</v>
      </c>
      <c r="E7" s="1">
        <v>7248.25</v>
      </c>
      <c r="F7" s="1">
        <v>4</v>
      </c>
      <c r="G7" s="1">
        <v>0</v>
      </c>
      <c r="H7" s="1">
        <v>1</v>
      </c>
      <c r="I7" s="1">
        <v>62564.72</v>
      </c>
      <c r="J7" s="1">
        <v>0</v>
      </c>
      <c r="K7">
        <f t="shared" si="0"/>
        <v>1</v>
      </c>
    </row>
    <row r="8" spans="1:11" x14ac:dyDescent="0.35">
      <c r="A8" s="1">
        <v>7</v>
      </c>
      <c r="B8" s="1">
        <v>38</v>
      </c>
      <c r="C8" s="1" t="s">
        <v>10</v>
      </c>
      <c r="D8" s="1">
        <v>40</v>
      </c>
      <c r="E8" s="1">
        <v>36257.79</v>
      </c>
      <c r="F8" s="1">
        <v>1</v>
      </c>
      <c r="G8" s="1">
        <v>0</v>
      </c>
      <c r="H8" s="1">
        <v>0</v>
      </c>
      <c r="I8" s="1">
        <v>41400.67</v>
      </c>
      <c r="J8" s="1">
        <v>0</v>
      </c>
      <c r="K8">
        <f t="shared" si="0"/>
        <v>1</v>
      </c>
    </row>
    <row r="9" spans="1:11" x14ac:dyDescent="0.35">
      <c r="A9" s="1">
        <v>8</v>
      </c>
      <c r="B9" s="1">
        <v>56</v>
      </c>
      <c r="C9" s="1" t="s">
        <v>11</v>
      </c>
      <c r="D9" s="1">
        <v>40</v>
      </c>
      <c r="E9" s="1">
        <v>9559.5400000000009</v>
      </c>
      <c r="F9" s="1">
        <v>1</v>
      </c>
      <c r="G9" s="1">
        <v>1</v>
      </c>
      <c r="H9" s="1">
        <v>1</v>
      </c>
      <c r="I9" s="1">
        <v>43552.34</v>
      </c>
      <c r="J9" s="1">
        <v>0</v>
      </c>
      <c r="K9">
        <f t="shared" si="0"/>
        <v>1</v>
      </c>
    </row>
    <row r="10" spans="1:11" x14ac:dyDescent="0.35">
      <c r="A10" s="1">
        <v>9</v>
      </c>
      <c r="B10" s="1">
        <v>36</v>
      </c>
      <c r="C10" s="1" t="s">
        <v>11</v>
      </c>
      <c r="D10" s="1">
        <v>33</v>
      </c>
      <c r="E10" s="1">
        <v>16913.16</v>
      </c>
      <c r="F10" s="1">
        <v>4</v>
      </c>
      <c r="G10" s="1">
        <v>0</v>
      </c>
      <c r="H10" s="1">
        <v>0</v>
      </c>
      <c r="I10" s="1">
        <v>122789.84</v>
      </c>
      <c r="J10" s="1">
        <v>0</v>
      </c>
      <c r="K10">
        <f t="shared" si="0"/>
        <v>1</v>
      </c>
    </row>
    <row r="11" spans="1:11" x14ac:dyDescent="0.35">
      <c r="A11" s="1">
        <v>10</v>
      </c>
      <c r="B11" s="1">
        <v>40</v>
      </c>
      <c r="C11" s="1" t="s">
        <v>10</v>
      </c>
      <c r="D11" s="1">
        <v>6</v>
      </c>
      <c r="E11" s="1">
        <v>15434.94</v>
      </c>
      <c r="F11" s="1">
        <v>2</v>
      </c>
      <c r="G11" s="1">
        <v>1</v>
      </c>
      <c r="H11" s="1">
        <v>1</v>
      </c>
      <c r="I11" s="1">
        <v>70015.23</v>
      </c>
      <c r="J11" s="1">
        <v>0</v>
      </c>
      <c r="K11">
        <f t="shared" si="0"/>
        <v>1</v>
      </c>
    </row>
    <row r="12" spans="1:11" x14ac:dyDescent="0.35">
      <c r="A12" s="1">
        <v>11</v>
      </c>
      <c r="B12" s="1">
        <v>28</v>
      </c>
      <c r="C12" s="1" t="s">
        <v>10</v>
      </c>
      <c r="D12" s="1">
        <v>19</v>
      </c>
      <c r="E12" s="1">
        <v>47351.8</v>
      </c>
      <c r="F12" s="1">
        <v>3</v>
      </c>
      <c r="G12" s="1">
        <v>1</v>
      </c>
      <c r="H12" s="1">
        <v>0</v>
      </c>
      <c r="I12" s="1">
        <v>76679.37</v>
      </c>
      <c r="J12" s="1">
        <v>0</v>
      </c>
      <c r="K12">
        <f t="shared" si="0"/>
        <v>1</v>
      </c>
    </row>
    <row r="13" spans="1:11" x14ac:dyDescent="0.35">
      <c r="A13" s="1">
        <v>12</v>
      </c>
      <c r="B13" s="1">
        <v>28</v>
      </c>
      <c r="C13" s="1" t="s">
        <v>10</v>
      </c>
      <c r="D13" s="1">
        <v>40</v>
      </c>
      <c r="E13" s="1">
        <v>48367.81</v>
      </c>
      <c r="F13" s="1">
        <v>3</v>
      </c>
      <c r="G13" s="1">
        <v>1</v>
      </c>
      <c r="H13" s="1">
        <v>0</v>
      </c>
      <c r="I13" s="1">
        <v>97226.43</v>
      </c>
      <c r="J13" s="1">
        <v>0</v>
      </c>
      <c r="K13">
        <f t="shared" si="0"/>
        <v>1</v>
      </c>
    </row>
    <row r="14" spans="1:11" x14ac:dyDescent="0.35">
      <c r="A14" s="1">
        <v>13</v>
      </c>
      <c r="B14" s="1">
        <v>41</v>
      </c>
      <c r="C14" s="1" t="s">
        <v>10</v>
      </c>
      <c r="D14" s="1">
        <v>59</v>
      </c>
      <c r="E14" s="1">
        <v>9150.77</v>
      </c>
      <c r="F14" s="1">
        <v>3</v>
      </c>
      <c r="G14" s="1">
        <v>1</v>
      </c>
      <c r="H14" s="1">
        <v>1</v>
      </c>
      <c r="I14" s="1">
        <v>96654.95</v>
      </c>
      <c r="J14" s="1">
        <v>0</v>
      </c>
      <c r="K14">
        <f t="shared" si="0"/>
        <v>1</v>
      </c>
    </row>
    <row r="15" spans="1:11" x14ac:dyDescent="0.35">
      <c r="A15" s="1">
        <v>14</v>
      </c>
      <c r="B15" s="1">
        <v>53</v>
      </c>
      <c r="C15" s="1" t="s">
        <v>11</v>
      </c>
      <c r="D15" s="1">
        <v>59</v>
      </c>
      <c r="E15" s="1">
        <v>1101.76</v>
      </c>
      <c r="F15" s="1">
        <v>2</v>
      </c>
      <c r="G15" s="1">
        <v>1</v>
      </c>
      <c r="H15" s="1">
        <v>1</v>
      </c>
      <c r="I15" s="1">
        <v>28758.99</v>
      </c>
      <c r="J15" s="1">
        <v>0</v>
      </c>
      <c r="K15">
        <f t="shared" si="0"/>
        <v>1</v>
      </c>
    </row>
    <row r="16" spans="1:11" x14ac:dyDescent="0.35">
      <c r="A16" s="1">
        <v>15</v>
      </c>
      <c r="B16" s="1">
        <v>57</v>
      </c>
      <c r="C16" s="1" t="s">
        <v>11</v>
      </c>
      <c r="D16" s="1">
        <v>48</v>
      </c>
      <c r="E16" s="1">
        <v>36000.400000000001</v>
      </c>
      <c r="F16" s="1">
        <v>3</v>
      </c>
      <c r="G16" s="1">
        <v>0</v>
      </c>
      <c r="H16" s="1">
        <v>1</v>
      </c>
      <c r="I16" s="1">
        <v>128100.3</v>
      </c>
      <c r="J16" s="1">
        <v>0</v>
      </c>
      <c r="K16">
        <f t="shared" si="0"/>
        <v>1</v>
      </c>
    </row>
    <row r="17" spans="1:11" x14ac:dyDescent="0.35">
      <c r="A17" s="1">
        <v>16</v>
      </c>
      <c r="B17" s="1">
        <v>41</v>
      </c>
      <c r="C17" s="1" t="s">
        <v>11</v>
      </c>
      <c r="D17" s="1">
        <v>41</v>
      </c>
      <c r="E17" s="1">
        <v>20899.5</v>
      </c>
      <c r="F17" s="1">
        <v>3</v>
      </c>
      <c r="G17" s="1">
        <v>1</v>
      </c>
      <c r="H17" s="1">
        <v>0</v>
      </c>
      <c r="I17" s="1">
        <v>43052.45</v>
      </c>
      <c r="J17" s="1">
        <v>0</v>
      </c>
      <c r="K17">
        <f t="shared" si="0"/>
        <v>1</v>
      </c>
    </row>
    <row r="18" spans="1:11" x14ac:dyDescent="0.35">
      <c r="A18" s="1">
        <v>17</v>
      </c>
      <c r="B18" s="1">
        <v>20</v>
      </c>
      <c r="C18" s="1" t="s">
        <v>11</v>
      </c>
      <c r="D18" s="1">
        <v>13</v>
      </c>
      <c r="E18" s="1">
        <v>4442.01</v>
      </c>
      <c r="F18" s="1">
        <v>4</v>
      </c>
      <c r="G18" s="1">
        <v>0</v>
      </c>
      <c r="H18" s="1">
        <v>1</v>
      </c>
      <c r="I18" s="1">
        <v>113999.31</v>
      </c>
      <c r="J18" s="1">
        <v>0</v>
      </c>
      <c r="K18">
        <f t="shared" si="0"/>
        <v>1</v>
      </c>
    </row>
    <row r="19" spans="1:11" x14ac:dyDescent="0.35">
      <c r="A19" s="1">
        <v>18</v>
      </c>
      <c r="B19" s="1">
        <v>39</v>
      </c>
      <c r="C19" s="1" t="s">
        <v>10</v>
      </c>
      <c r="D19" s="1">
        <v>45</v>
      </c>
      <c r="E19" s="1">
        <v>34187.71</v>
      </c>
      <c r="F19" s="1">
        <v>2</v>
      </c>
      <c r="G19" s="1">
        <v>1</v>
      </c>
      <c r="H19" s="1">
        <v>1</v>
      </c>
      <c r="I19" s="1">
        <v>120447.23</v>
      </c>
      <c r="J19" s="1">
        <v>0</v>
      </c>
      <c r="K19">
        <f t="shared" si="0"/>
        <v>1</v>
      </c>
    </row>
    <row r="20" spans="1:11" x14ac:dyDescent="0.35">
      <c r="A20" s="1">
        <v>19</v>
      </c>
      <c r="B20" s="1">
        <v>19</v>
      </c>
      <c r="C20" s="1" t="s">
        <v>10</v>
      </c>
      <c r="D20" s="1">
        <v>53</v>
      </c>
      <c r="E20" s="1">
        <v>27255.279999999999</v>
      </c>
      <c r="F20" s="1">
        <v>1</v>
      </c>
      <c r="G20" s="1">
        <v>1</v>
      </c>
      <c r="H20" s="1">
        <v>0</v>
      </c>
      <c r="I20" s="1">
        <v>112936.94</v>
      </c>
      <c r="J20" s="1">
        <v>0</v>
      </c>
      <c r="K20">
        <f t="shared" si="0"/>
        <v>1</v>
      </c>
    </row>
    <row r="21" spans="1:11" x14ac:dyDescent="0.35">
      <c r="A21" s="1">
        <v>20</v>
      </c>
      <c r="B21" s="1">
        <v>41</v>
      </c>
      <c r="C21" s="1" t="s">
        <v>10</v>
      </c>
      <c r="D21" s="1">
        <v>42</v>
      </c>
      <c r="E21" s="1">
        <v>49025.84</v>
      </c>
      <c r="F21" s="1">
        <v>4</v>
      </c>
      <c r="G21" s="1">
        <v>1</v>
      </c>
      <c r="H21" s="1">
        <v>1</v>
      </c>
      <c r="I21" s="1">
        <v>95267.09</v>
      </c>
      <c r="J21" s="1">
        <v>0</v>
      </c>
      <c r="K21">
        <f t="shared" si="0"/>
        <v>1</v>
      </c>
    </row>
    <row r="22" spans="1:11" x14ac:dyDescent="0.35">
      <c r="A22" s="1">
        <v>21</v>
      </c>
      <c r="B22" s="1">
        <v>61</v>
      </c>
      <c r="C22" s="1" t="s">
        <v>11</v>
      </c>
      <c r="D22" s="1">
        <v>63</v>
      </c>
      <c r="E22" s="1">
        <v>11370.47</v>
      </c>
      <c r="F22" s="1">
        <v>4</v>
      </c>
      <c r="G22" s="1">
        <v>0</v>
      </c>
      <c r="H22" s="1">
        <v>0</v>
      </c>
      <c r="I22" s="1">
        <v>21899.17</v>
      </c>
      <c r="J22" s="1">
        <v>0</v>
      </c>
      <c r="K22">
        <f t="shared" si="0"/>
        <v>1</v>
      </c>
    </row>
    <row r="23" spans="1:11" x14ac:dyDescent="0.35">
      <c r="A23" s="1">
        <v>22</v>
      </c>
      <c r="B23" s="1">
        <v>47</v>
      </c>
      <c r="C23" s="1" t="s">
        <v>10</v>
      </c>
      <c r="D23" s="1">
        <v>27</v>
      </c>
      <c r="E23" s="1">
        <v>20198.89</v>
      </c>
      <c r="F23" s="1">
        <v>1</v>
      </c>
      <c r="G23" s="1">
        <v>1</v>
      </c>
      <c r="H23" s="1">
        <v>1</v>
      </c>
      <c r="I23" s="1">
        <v>66848.81</v>
      </c>
      <c r="J23" s="1">
        <v>0</v>
      </c>
      <c r="K23">
        <f t="shared" si="0"/>
        <v>1</v>
      </c>
    </row>
    <row r="24" spans="1:11" x14ac:dyDescent="0.35">
      <c r="A24" s="1">
        <v>23</v>
      </c>
      <c r="B24" s="1">
        <v>55</v>
      </c>
      <c r="C24" s="1" t="s">
        <v>11</v>
      </c>
      <c r="D24" s="1">
        <v>38</v>
      </c>
      <c r="E24" s="1">
        <v>27127.29</v>
      </c>
      <c r="F24" s="1">
        <v>4</v>
      </c>
      <c r="G24" s="1">
        <v>1</v>
      </c>
      <c r="H24" s="1">
        <v>0</v>
      </c>
      <c r="I24" s="1">
        <v>98629.13</v>
      </c>
      <c r="J24" s="1">
        <v>0</v>
      </c>
      <c r="K24">
        <f t="shared" si="0"/>
        <v>1</v>
      </c>
    </row>
    <row r="25" spans="1:11" x14ac:dyDescent="0.35">
      <c r="A25" s="1">
        <v>24</v>
      </c>
      <c r="B25" s="1">
        <v>19</v>
      </c>
      <c r="C25" s="1" t="s">
        <v>11</v>
      </c>
      <c r="D25" s="1">
        <v>60</v>
      </c>
      <c r="E25" s="1">
        <v>39585</v>
      </c>
      <c r="F25" s="1">
        <v>2</v>
      </c>
      <c r="G25" s="1">
        <v>1</v>
      </c>
      <c r="H25" s="1">
        <v>0</v>
      </c>
      <c r="I25" s="1">
        <v>70368.67</v>
      </c>
      <c r="J25" s="1">
        <v>0</v>
      </c>
      <c r="K25">
        <f t="shared" si="0"/>
        <v>1</v>
      </c>
    </row>
    <row r="26" spans="1:11" x14ac:dyDescent="0.35">
      <c r="A26" s="1">
        <v>25</v>
      </c>
      <c r="B26" s="1">
        <v>38</v>
      </c>
      <c r="C26" s="1" t="s">
        <v>10</v>
      </c>
      <c r="D26" s="1">
        <v>7</v>
      </c>
      <c r="E26" s="1">
        <v>27441.93</v>
      </c>
      <c r="F26" s="1">
        <v>3</v>
      </c>
      <c r="G26" s="1">
        <v>1</v>
      </c>
      <c r="H26" s="1">
        <v>1</v>
      </c>
      <c r="I26" s="1">
        <v>132252.39000000001</v>
      </c>
      <c r="J26" s="1">
        <v>0</v>
      </c>
      <c r="K26">
        <f t="shared" si="0"/>
        <v>1</v>
      </c>
    </row>
    <row r="27" spans="1:11" x14ac:dyDescent="0.35">
      <c r="A27" s="1">
        <v>26</v>
      </c>
      <c r="B27" s="1">
        <v>50</v>
      </c>
      <c r="C27" s="1" t="s">
        <v>10</v>
      </c>
      <c r="D27" s="1">
        <v>5</v>
      </c>
      <c r="E27" s="1">
        <v>30645.01</v>
      </c>
      <c r="F27" s="1">
        <v>2</v>
      </c>
      <c r="G27" s="1">
        <v>0</v>
      </c>
      <c r="H27" s="1">
        <v>0</v>
      </c>
      <c r="I27" s="1">
        <v>60144.3</v>
      </c>
      <c r="J27" s="1">
        <v>0</v>
      </c>
      <c r="K27">
        <f t="shared" si="0"/>
        <v>1</v>
      </c>
    </row>
    <row r="28" spans="1:11" x14ac:dyDescent="0.35">
      <c r="A28" s="1">
        <v>27</v>
      </c>
      <c r="B28" s="1">
        <v>29</v>
      </c>
      <c r="C28" s="1" t="s">
        <v>10</v>
      </c>
      <c r="D28" s="1">
        <v>45</v>
      </c>
      <c r="E28" s="1">
        <v>11307.35</v>
      </c>
      <c r="F28" s="1">
        <v>1</v>
      </c>
      <c r="G28" s="1">
        <v>1</v>
      </c>
      <c r="H28" s="1">
        <v>1</v>
      </c>
      <c r="I28" s="1">
        <v>58159.519999999997</v>
      </c>
      <c r="J28" s="1">
        <v>0</v>
      </c>
      <c r="K28">
        <f t="shared" si="0"/>
        <v>1</v>
      </c>
    </row>
    <row r="29" spans="1:11" x14ac:dyDescent="0.35">
      <c r="A29" s="1">
        <v>28</v>
      </c>
      <c r="B29" s="1">
        <v>39</v>
      </c>
      <c r="C29" s="1" t="s">
        <v>11</v>
      </c>
      <c r="D29" s="1">
        <v>58</v>
      </c>
      <c r="E29" s="1">
        <v>42345.94</v>
      </c>
      <c r="F29" s="1">
        <v>1</v>
      </c>
      <c r="G29" s="1">
        <v>0</v>
      </c>
      <c r="H29" s="1">
        <v>1</v>
      </c>
      <c r="I29" s="1">
        <v>54579.7</v>
      </c>
      <c r="J29" s="1">
        <v>0</v>
      </c>
      <c r="K29">
        <f t="shared" si="0"/>
        <v>1</v>
      </c>
    </row>
    <row r="30" spans="1:11" x14ac:dyDescent="0.35">
      <c r="A30" s="1">
        <v>29</v>
      </c>
      <c r="B30" s="1">
        <v>61</v>
      </c>
      <c r="C30" s="1" t="s">
        <v>10</v>
      </c>
      <c r="D30" s="1">
        <v>31</v>
      </c>
      <c r="E30" s="1">
        <v>21431.53</v>
      </c>
      <c r="F30" s="1">
        <v>4</v>
      </c>
      <c r="G30" s="1">
        <v>1</v>
      </c>
      <c r="H30" s="1">
        <v>0</v>
      </c>
      <c r="I30" s="1">
        <v>63261.51</v>
      </c>
      <c r="J30" s="1">
        <v>0</v>
      </c>
      <c r="K30">
        <f t="shared" si="0"/>
        <v>1</v>
      </c>
    </row>
    <row r="31" spans="1:11" x14ac:dyDescent="0.35">
      <c r="A31" s="1">
        <v>30</v>
      </c>
      <c r="B31" s="1">
        <v>42</v>
      </c>
      <c r="C31" s="1" t="s">
        <v>11</v>
      </c>
      <c r="D31" s="1">
        <v>23</v>
      </c>
      <c r="E31" s="1">
        <v>7047.98</v>
      </c>
      <c r="F31" s="1">
        <v>2</v>
      </c>
      <c r="G31" s="1">
        <v>0</v>
      </c>
      <c r="H31" s="1">
        <v>1</v>
      </c>
      <c r="I31" s="1">
        <v>92462.65</v>
      </c>
      <c r="J31" s="1">
        <v>0</v>
      </c>
      <c r="K31">
        <f t="shared" si="0"/>
        <v>1</v>
      </c>
    </row>
    <row r="32" spans="1:11" x14ac:dyDescent="0.35">
      <c r="A32" s="1">
        <v>31</v>
      </c>
      <c r="B32" s="1">
        <v>66</v>
      </c>
      <c r="C32" s="1" t="s">
        <v>10</v>
      </c>
      <c r="D32" s="1">
        <v>42</v>
      </c>
      <c r="E32" s="1">
        <v>33209.4</v>
      </c>
      <c r="F32" s="1">
        <v>2</v>
      </c>
      <c r="G32" s="1">
        <v>0</v>
      </c>
      <c r="H32" s="1">
        <v>0</v>
      </c>
      <c r="I32" s="1">
        <v>111911.99</v>
      </c>
      <c r="J32" s="1">
        <v>0</v>
      </c>
      <c r="K32">
        <f t="shared" si="0"/>
        <v>1</v>
      </c>
    </row>
    <row r="33" spans="1:11" x14ac:dyDescent="0.35">
      <c r="A33" s="1">
        <v>32</v>
      </c>
      <c r="B33" s="1">
        <v>44</v>
      </c>
      <c r="C33" s="1" t="s">
        <v>11</v>
      </c>
      <c r="D33" s="1">
        <v>10</v>
      </c>
      <c r="E33" s="1">
        <v>10804.52</v>
      </c>
      <c r="F33" s="1">
        <v>1</v>
      </c>
      <c r="G33" s="1">
        <v>1</v>
      </c>
      <c r="H33" s="1">
        <v>0</v>
      </c>
      <c r="I33" s="1">
        <v>106133.83</v>
      </c>
      <c r="J33" s="1">
        <v>0</v>
      </c>
      <c r="K33">
        <f t="shared" si="0"/>
        <v>1</v>
      </c>
    </row>
    <row r="34" spans="1:11" x14ac:dyDescent="0.35">
      <c r="A34" s="1">
        <v>33</v>
      </c>
      <c r="B34" s="1">
        <v>59</v>
      </c>
      <c r="C34" s="1" t="s">
        <v>11</v>
      </c>
      <c r="D34" s="1">
        <v>32</v>
      </c>
      <c r="E34" s="1">
        <v>4878.13</v>
      </c>
      <c r="F34" s="1">
        <v>2</v>
      </c>
      <c r="G34" s="1">
        <v>1</v>
      </c>
      <c r="H34" s="1">
        <v>0</v>
      </c>
      <c r="I34" s="1">
        <v>125003.32</v>
      </c>
      <c r="J34" s="1">
        <v>0</v>
      </c>
      <c r="K34">
        <f t="shared" si="0"/>
        <v>1</v>
      </c>
    </row>
    <row r="35" spans="1:11" x14ac:dyDescent="0.35">
      <c r="A35" s="1">
        <v>34</v>
      </c>
      <c r="B35" s="1">
        <v>45</v>
      </c>
      <c r="C35" s="1" t="s">
        <v>10</v>
      </c>
      <c r="D35" s="1">
        <v>53</v>
      </c>
      <c r="E35" s="1">
        <v>43099.35</v>
      </c>
      <c r="F35" s="1">
        <v>1</v>
      </c>
      <c r="G35" s="1">
        <v>0</v>
      </c>
      <c r="H35" s="1">
        <v>0</v>
      </c>
      <c r="I35" s="1">
        <v>135168.82</v>
      </c>
      <c r="J35" s="1">
        <v>0</v>
      </c>
      <c r="K35">
        <f t="shared" si="0"/>
        <v>1</v>
      </c>
    </row>
    <row r="36" spans="1:11" x14ac:dyDescent="0.35">
      <c r="A36" s="1">
        <v>35</v>
      </c>
      <c r="B36" s="1">
        <v>33</v>
      </c>
      <c r="C36" s="1" t="s">
        <v>11</v>
      </c>
      <c r="D36" s="1">
        <v>30</v>
      </c>
      <c r="E36" s="1">
        <v>23008.11</v>
      </c>
      <c r="F36" s="1">
        <v>2</v>
      </c>
      <c r="G36" s="1">
        <v>1</v>
      </c>
      <c r="H36" s="1">
        <v>0</v>
      </c>
      <c r="I36" s="1">
        <v>126090.28</v>
      </c>
      <c r="J36" s="1">
        <v>0</v>
      </c>
      <c r="K36">
        <f t="shared" si="0"/>
        <v>1</v>
      </c>
    </row>
    <row r="37" spans="1:11" x14ac:dyDescent="0.35">
      <c r="A37" s="1">
        <v>36</v>
      </c>
      <c r="B37" s="1">
        <v>32</v>
      </c>
      <c r="C37" s="1" t="s">
        <v>11</v>
      </c>
      <c r="D37" s="1">
        <v>39</v>
      </c>
      <c r="E37" s="1">
        <v>37464.19</v>
      </c>
      <c r="F37" s="1">
        <v>2</v>
      </c>
      <c r="G37" s="1">
        <v>1</v>
      </c>
      <c r="H37" s="1">
        <v>0</v>
      </c>
      <c r="I37" s="1">
        <v>22462.9</v>
      </c>
      <c r="J37" s="1">
        <v>0</v>
      </c>
      <c r="K37">
        <f t="shared" si="0"/>
        <v>1</v>
      </c>
    </row>
    <row r="38" spans="1:11" x14ac:dyDescent="0.35">
      <c r="A38" s="1">
        <v>37</v>
      </c>
      <c r="B38" s="1">
        <v>64</v>
      </c>
      <c r="C38" s="1" t="s">
        <v>10</v>
      </c>
      <c r="D38" s="1">
        <v>31</v>
      </c>
      <c r="E38" s="1">
        <v>14529.38</v>
      </c>
      <c r="F38" s="1">
        <v>2</v>
      </c>
      <c r="G38" s="1">
        <v>1</v>
      </c>
      <c r="H38" s="1">
        <v>0</v>
      </c>
      <c r="I38" s="1">
        <v>115669.33</v>
      </c>
      <c r="J38" s="1">
        <v>0</v>
      </c>
      <c r="K38">
        <f t="shared" si="0"/>
        <v>1</v>
      </c>
    </row>
    <row r="39" spans="1:11" x14ac:dyDescent="0.35">
      <c r="A39" s="1">
        <v>38</v>
      </c>
      <c r="B39" s="1">
        <v>68</v>
      </c>
      <c r="C39" s="1" t="s">
        <v>11</v>
      </c>
      <c r="D39" s="1">
        <v>2</v>
      </c>
      <c r="E39" s="1">
        <v>39348.51</v>
      </c>
      <c r="F39" s="1">
        <v>1</v>
      </c>
      <c r="G39" s="1">
        <v>0</v>
      </c>
      <c r="H39" s="1">
        <v>0</v>
      </c>
      <c r="I39" s="1">
        <v>47091.94</v>
      </c>
      <c r="J39" s="1">
        <v>0</v>
      </c>
      <c r="K39">
        <f t="shared" si="0"/>
        <v>1</v>
      </c>
    </row>
    <row r="40" spans="1:11" x14ac:dyDescent="0.35">
      <c r="A40" s="1">
        <v>39</v>
      </c>
      <c r="B40" s="1">
        <v>61</v>
      </c>
      <c r="C40" s="1" t="s">
        <v>10</v>
      </c>
      <c r="D40" s="1">
        <v>12</v>
      </c>
      <c r="E40" s="1">
        <v>5596.8</v>
      </c>
      <c r="F40" s="1">
        <v>4</v>
      </c>
      <c r="G40" s="1">
        <v>1</v>
      </c>
      <c r="H40" s="1">
        <v>1</v>
      </c>
      <c r="I40" s="1">
        <v>37280.65</v>
      </c>
      <c r="J40" s="1">
        <v>0</v>
      </c>
      <c r="K40">
        <f t="shared" si="0"/>
        <v>1</v>
      </c>
    </row>
    <row r="41" spans="1:11" x14ac:dyDescent="0.35">
      <c r="A41" s="1">
        <v>40</v>
      </c>
      <c r="B41" s="1">
        <v>69</v>
      </c>
      <c r="C41" s="1" t="s">
        <v>11</v>
      </c>
      <c r="D41" s="1">
        <v>39</v>
      </c>
      <c r="E41" s="1">
        <v>17798.669999999998</v>
      </c>
      <c r="F41" s="1">
        <v>2</v>
      </c>
      <c r="G41" s="1">
        <v>1</v>
      </c>
      <c r="H41" s="1">
        <v>1</v>
      </c>
      <c r="I41" s="1">
        <v>103003.54</v>
      </c>
      <c r="J41" s="1">
        <v>0</v>
      </c>
      <c r="K41">
        <f t="shared" si="0"/>
        <v>1</v>
      </c>
    </row>
    <row r="42" spans="1:11" x14ac:dyDescent="0.35">
      <c r="A42" s="1">
        <v>41</v>
      </c>
      <c r="B42" s="1">
        <v>20</v>
      </c>
      <c r="C42" s="1" t="s">
        <v>10</v>
      </c>
      <c r="D42" s="1">
        <v>66</v>
      </c>
      <c r="E42" s="1">
        <v>48903.09</v>
      </c>
      <c r="F42" s="1">
        <v>1</v>
      </c>
      <c r="G42" s="1">
        <v>1</v>
      </c>
      <c r="H42" s="1">
        <v>0</v>
      </c>
      <c r="I42" s="1">
        <v>61566.62</v>
      </c>
      <c r="J42" s="1">
        <v>0</v>
      </c>
      <c r="K42">
        <f t="shared" si="0"/>
        <v>1</v>
      </c>
    </row>
    <row r="43" spans="1:11" x14ac:dyDescent="0.35">
      <c r="A43" s="1">
        <v>42</v>
      </c>
      <c r="B43" s="1">
        <v>54</v>
      </c>
      <c r="C43" s="1" t="s">
        <v>10</v>
      </c>
      <c r="D43" s="1">
        <v>13</v>
      </c>
      <c r="E43" s="1">
        <v>39699.49</v>
      </c>
      <c r="F43" s="1">
        <v>1</v>
      </c>
      <c r="G43" s="1">
        <v>0</v>
      </c>
      <c r="H43" s="1">
        <v>1</v>
      </c>
      <c r="I43" s="1">
        <v>27425.23</v>
      </c>
      <c r="J43" s="1">
        <v>0</v>
      </c>
      <c r="K43">
        <f t="shared" si="0"/>
        <v>1</v>
      </c>
    </row>
    <row r="44" spans="1:11" x14ac:dyDescent="0.35">
      <c r="A44" s="1">
        <v>43</v>
      </c>
      <c r="B44" s="1">
        <v>68</v>
      </c>
      <c r="C44" s="1" t="s">
        <v>11</v>
      </c>
      <c r="D44" s="1">
        <v>46</v>
      </c>
      <c r="E44" s="1">
        <v>24862.799999999999</v>
      </c>
      <c r="F44" s="1">
        <v>2</v>
      </c>
      <c r="G44" s="1">
        <v>1</v>
      </c>
      <c r="H44" s="1">
        <v>1</v>
      </c>
      <c r="I44" s="1">
        <v>37891.870000000003</v>
      </c>
      <c r="J44" s="1">
        <v>0</v>
      </c>
      <c r="K44">
        <f t="shared" si="0"/>
        <v>1</v>
      </c>
    </row>
    <row r="45" spans="1:11" x14ac:dyDescent="0.35">
      <c r="A45" s="1">
        <v>44</v>
      </c>
      <c r="B45" s="1">
        <v>24</v>
      </c>
      <c r="C45" s="1" t="s">
        <v>11</v>
      </c>
      <c r="D45" s="1">
        <v>27</v>
      </c>
      <c r="E45" s="1">
        <v>16988.87</v>
      </c>
      <c r="F45" s="1">
        <v>2</v>
      </c>
      <c r="G45" s="1">
        <v>0</v>
      </c>
      <c r="H45" s="1">
        <v>1</v>
      </c>
      <c r="I45" s="1">
        <v>20120.82</v>
      </c>
      <c r="J45" s="1">
        <v>0</v>
      </c>
      <c r="K45">
        <f t="shared" si="0"/>
        <v>1</v>
      </c>
    </row>
    <row r="46" spans="1:11" x14ac:dyDescent="0.35">
      <c r="A46" s="1">
        <v>45</v>
      </c>
      <c r="B46" s="1">
        <v>38</v>
      </c>
      <c r="C46" s="1" t="s">
        <v>11</v>
      </c>
      <c r="D46" s="1">
        <v>17</v>
      </c>
      <c r="E46" s="1">
        <v>43606.79</v>
      </c>
      <c r="F46" s="1">
        <v>4</v>
      </c>
      <c r="G46" s="1">
        <v>1</v>
      </c>
      <c r="H46" s="1">
        <v>1</v>
      </c>
      <c r="I46" s="1">
        <v>137419.07</v>
      </c>
      <c r="J46" s="1">
        <v>0</v>
      </c>
      <c r="K46">
        <f t="shared" si="0"/>
        <v>1</v>
      </c>
    </row>
    <row r="47" spans="1:11" x14ac:dyDescent="0.35">
      <c r="A47" s="1">
        <v>46</v>
      </c>
      <c r="B47" s="1">
        <v>26</v>
      </c>
      <c r="C47" s="1" t="s">
        <v>11</v>
      </c>
      <c r="D47" s="1">
        <v>60</v>
      </c>
      <c r="E47" s="1">
        <v>27242.39</v>
      </c>
      <c r="F47" s="1">
        <v>1</v>
      </c>
      <c r="G47" s="1">
        <v>0</v>
      </c>
      <c r="H47" s="1">
        <v>1</v>
      </c>
      <c r="I47" s="1">
        <v>23200.34</v>
      </c>
      <c r="J47" s="1">
        <v>0</v>
      </c>
      <c r="K47">
        <f t="shared" si="0"/>
        <v>1</v>
      </c>
    </row>
    <row r="48" spans="1:11" x14ac:dyDescent="0.35">
      <c r="A48" s="1">
        <v>47</v>
      </c>
      <c r="B48" s="1">
        <v>56</v>
      </c>
      <c r="C48" s="1" t="s">
        <v>11</v>
      </c>
      <c r="D48" s="1">
        <v>64</v>
      </c>
      <c r="E48" s="1">
        <v>37921.25</v>
      </c>
      <c r="F48" s="1">
        <v>1</v>
      </c>
      <c r="G48" s="1">
        <v>1</v>
      </c>
      <c r="H48" s="1">
        <v>1</v>
      </c>
      <c r="I48" s="1">
        <v>47229.25</v>
      </c>
      <c r="J48" s="1">
        <v>0</v>
      </c>
      <c r="K48">
        <f t="shared" si="0"/>
        <v>1</v>
      </c>
    </row>
    <row r="49" spans="1:11" x14ac:dyDescent="0.35">
      <c r="A49" s="1">
        <v>48</v>
      </c>
      <c r="B49" s="1">
        <v>35</v>
      </c>
      <c r="C49" s="1" t="s">
        <v>10</v>
      </c>
      <c r="D49" s="1">
        <v>35</v>
      </c>
      <c r="E49" s="1">
        <v>37705.379999999997</v>
      </c>
      <c r="F49" s="1">
        <v>3</v>
      </c>
      <c r="G49" s="1">
        <v>1</v>
      </c>
      <c r="H49" s="1">
        <v>0</v>
      </c>
      <c r="I49" s="1">
        <v>74114.16</v>
      </c>
      <c r="J49" s="1">
        <v>0</v>
      </c>
      <c r="K49">
        <f t="shared" si="0"/>
        <v>1</v>
      </c>
    </row>
    <row r="50" spans="1:11" x14ac:dyDescent="0.35">
      <c r="A50" s="1">
        <v>49</v>
      </c>
      <c r="B50" s="1">
        <v>21</v>
      </c>
      <c r="C50" s="1" t="s">
        <v>11</v>
      </c>
      <c r="D50" s="1">
        <v>70</v>
      </c>
      <c r="E50" s="1">
        <v>897.28</v>
      </c>
      <c r="F50" s="1">
        <v>1</v>
      </c>
      <c r="G50" s="1">
        <v>0</v>
      </c>
      <c r="H50" s="1">
        <v>1</v>
      </c>
      <c r="I50" s="1">
        <v>66354.27</v>
      </c>
      <c r="J50" s="1">
        <v>0</v>
      </c>
      <c r="K50">
        <f t="shared" si="0"/>
        <v>1</v>
      </c>
    </row>
    <row r="51" spans="1:11" x14ac:dyDescent="0.35">
      <c r="A51" s="1">
        <v>50</v>
      </c>
      <c r="B51" s="1">
        <v>42</v>
      </c>
      <c r="C51" s="1" t="s">
        <v>10</v>
      </c>
      <c r="D51" s="1">
        <v>30</v>
      </c>
      <c r="E51" s="1">
        <v>6312.69</v>
      </c>
      <c r="F51" s="1">
        <v>4</v>
      </c>
      <c r="G51" s="1">
        <v>0</v>
      </c>
      <c r="H51" s="1">
        <v>1</v>
      </c>
      <c r="I51" s="1">
        <v>138524.35999999999</v>
      </c>
      <c r="J51" s="1">
        <v>0</v>
      </c>
      <c r="K51">
        <f t="shared" si="0"/>
        <v>1</v>
      </c>
    </row>
    <row r="52" spans="1:11" x14ac:dyDescent="0.35">
      <c r="A52" s="1">
        <v>51</v>
      </c>
      <c r="B52" s="1">
        <v>31</v>
      </c>
      <c r="C52" s="1" t="s">
        <v>10</v>
      </c>
      <c r="D52" s="1">
        <v>71</v>
      </c>
      <c r="E52" s="1">
        <v>32981.47</v>
      </c>
      <c r="F52" s="1">
        <v>3</v>
      </c>
      <c r="G52" s="1">
        <v>0</v>
      </c>
      <c r="H52" s="1">
        <v>1</v>
      </c>
      <c r="I52" s="1">
        <v>25237.56</v>
      </c>
      <c r="J52" s="1">
        <v>0</v>
      </c>
      <c r="K52">
        <f t="shared" si="0"/>
        <v>1</v>
      </c>
    </row>
    <row r="53" spans="1:11" x14ac:dyDescent="0.35">
      <c r="A53" s="1">
        <v>52</v>
      </c>
      <c r="B53" s="1">
        <v>67</v>
      </c>
      <c r="C53" s="1" t="s">
        <v>11</v>
      </c>
      <c r="D53" s="1">
        <v>63</v>
      </c>
      <c r="E53" s="1">
        <v>8080.99</v>
      </c>
      <c r="F53" s="1">
        <v>3</v>
      </c>
      <c r="G53" s="1">
        <v>1</v>
      </c>
      <c r="H53" s="1">
        <v>1</v>
      </c>
      <c r="I53" s="1">
        <v>86587.91</v>
      </c>
      <c r="J53" s="1">
        <v>0</v>
      </c>
      <c r="K53">
        <f t="shared" si="0"/>
        <v>1</v>
      </c>
    </row>
    <row r="54" spans="1:11" x14ac:dyDescent="0.35">
      <c r="A54" s="1">
        <v>53</v>
      </c>
      <c r="B54" s="1">
        <v>26</v>
      </c>
      <c r="C54" s="1" t="s">
        <v>10</v>
      </c>
      <c r="D54" s="1">
        <v>28</v>
      </c>
      <c r="E54" s="1">
        <v>12774.67</v>
      </c>
      <c r="F54" s="1">
        <v>3</v>
      </c>
      <c r="G54" s="1">
        <v>1</v>
      </c>
      <c r="H54" s="1">
        <v>0</v>
      </c>
      <c r="I54" s="1">
        <v>108462.33</v>
      </c>
      <c r="J54" s="1">
        <v>0</v>
      </c>
      <c r="K54">
        <f t="shared" si="0"/>
        <v>1</v>
      </c>
    </row>
    <row r="55" spans="1:11" x14ac:dyDescent="0.35">
      <c r="A55" s="1">
        <v>54</v>
      </c>
      <c r="B55" s="1">
        <v>43</v>
      </c>
      <c r="C55" s="1" t="s">
        <v>10</v>
      </c>
      <c r="D55" s="1">
        <v>60</v>
      </c>
      <c r="E55" s="1">
        <v>47331.9</v>
      </c>
      <c r="F55" s="1">
        <v>2</v>
      </c>
      <c r="G55" s="1">
        <v>1</v>
      </c>
      <c r="H55" s="1">
        <v>0</v>
      </c>
      <c r="I55" s="1">
        <v>141120.74</v>
      </c>
      <c r="J55" s="1">
        <v>0</v>
      </c>
      <c r="K55">
        <f t="shared" si="0"/>
        <v>1</v>
      </c>
    </row>
    <row r="56" spans="1:11" x14ac:dyDescent="0.35">
      <c r="A56" s="1">
        <v>55</v>
      </c>
      <c r="B56" s="1">
        <v>19</v>
      </c>
      <c r="C56" s="1" t="s">
        <v>10</v>
      </c>
      <c r="D56" s="1">
        <v>37</v>
      </c>
      <c r="E56" s="1">
        <v>28009.11</v>
      </c>
      <c r="F56" s="1">
        <v>2</v>
      </c>
      <c r="G56" s="1">
        <v>1</v>
      </c>
      <c r="H56" s="1">
        <v>0</v>
      </c>
      <c r="I56" s="1">
        <v>100648.26</v>
      </c>
      <c r="J56" s="1">
        <v>0</v>
      </c>
      <c r="K56">
        <f t="shared" si="0"/>
        <v>1</v>
      </c>
    </row>
    <row r="57" spans="1:11" x14ac:dyDescent="0.35">
      <c r="A57" s="1">
        <v>56</v>
      </c>
      <c r="B57" s="1">
        <v>37</v>
      </c>
      <c r="C57" s="1" t="s">
        <v>10</v>
      </c>
      <c r="D57" s="1">
        <v>22</v>
      </c>
      <c r="E57" s="1">
        <v>37536.480000000003</v>
      </c>
      <c r="F57" s="1">
        <v>1</v>
      </c>
      <c r="G57" s="1">
        <v>0</v>
      </c>
      <c r="H57" s="1">
        <v>0</v>
      </c>
      <c r="I57" s="1">
        <v>124488.18</v>
      </c>
      <c r="J57" s="1">
        <v>0</v>
      </c>
      <c r="K57">
        <f t="shared" si="0"/>
        <v>1</v>
      </c>
    </row>
    <row r="58" spans="1:11" x14ac:dyDescent="0.35">
      <c r="A58" s="1">
        <v>57</v>
      </c>
      <c r="B58" s="1">
        <v>45</v>
      </c>
      <c r="C58" s="1" t="s">
        <v>11</v>
      </c>
      <c r="D58" s="1">
        <v>68</v>
      </c>
      <c r="E58" s="1">
        <v>27899.040000000001</v>
      </c>
      <c r="F58" s="1">
        <v>3</v>
      </c>
      <c r="G58" s="1">
        <v>1</v>
      </c>
      <c r="H58" s="1">
        <v>1</v>
      </c>
      <c r="I58" s="1">
        <v>30884.240000000002</v>
      </c>
      <c r="J58" s="1">
        <v>0</v>
      </c>
      <c r="K58">
        <f t="shared" si="0"/>
        <v>1</v>
      </c>
    </row>
    <row r="59" spans="1:11" x14ac:dyDescent="0.35">
      <c r="A59" s="1">
        <v>58</v>
      </c>
      <c r="B59" s="1">
        <v>64</v>
      </c>
      <c r="C59" s="1" t="s">
        <v>10</v>
      </c>
      <c r="D59" s="1">
        <v>20</v>
      </c>
      <c r="E59" s="1">
        <v>27625.68</v>
      </c>
      <c r="F59" s="1">
        <v>4</v>
      </c>
      <c r="G59" s="1">
        <v>1</v>
      </c>
      <c r="H59" s="1">
        <v>0</v>
      </c>
      <c r="I59" s="1">
        <v>70172.14</v>
      </c>
      <c r="J59" s="1">
        <v>0</v>
      </c>
      <c r="K59">
        <f t="shared" si="0"/>
        <v>1</v>
      </c>
    </row>
    <row r="60" spans="1:11" x14ac:dyDescent="0.35">
      <c r="A60" s="1">
        <v>59</v>
      </c>
      <c r="B60" s="1">
        <v>24</v>
      </c>
      <c r="C60" s="1" t="s">
        <v>11</v>
      </c>
      <c r="D60" s="1">
        <v>68</v>
      </c>
      <c r="E60" s="1">
        <v>4707.6000000000004</v>
      </c>
      <c r="F60" s="1">
        <v>2</v>
      </c>
      <c r="G60" s="1">
        <v>1</v>
      </c>
      <c r="H60" s="1">
        <v>0</v>
      </c>
      <c r="I60" s="1">
        <v>68613.13</v>
      </c>
      <c r="J60" s="1">
        <v>0</v>
      </c>
      <c r="K60">
        <f t="shared" si="0"/>
        <v>1</v>
      </c>
    </row>
    <row r="61" spans="1:11" x14ac:dyDescent="0.35">
      <c r="A61" s="1">
        <v>60</v>
      </c>
      <c r="B61" s="1">
        <v>61</v>
      </c>
      <c r="C61" s="1" t="s">
        <v>11</v>
      </c>
      <c r="D61" s="1">
        <v>64</v>
      </c>
      <c r="E61" s="1">
        <v>17183.16</v>
      </c>
      <c r="F61" s="1">
        <v>4</v>
      </c>
      <c r="G61" s="1">
        <v>1</v>
      </c>
      <c r="H61" s="1">
        <v>0</v>
      </c>
      <c r="I61" s="1">
        <v>135217.47</v>
      </c>
      <c r="J61" s="1">
        <v>0</v>
      </c>
      <c r="K61">
        <f t="shared" si="0"/>
        <v>1</v>
      </c>
    </row>
    <row r="62" spans="1:11" x14ac:dyDescent="0.35">
      <c r="A62" s="1">
        <v>61</v>
      </c>
      <c r="B62" s="1">
        <v>25</v>
      </c>
      <c r="C62" s="1" t="s">
        <v>10</v>
      </c>
      <c r="D62" s="1">
        <v>17</v>
      </c>
      <c r="E62" s="1">
        <v>14121.54</v>
      </c>
      <c r="F62" s="1">
        <v>4</v>
      </c>
      <c r="G62" s="1">
        <v>1</v>
      </c>
      <c r="H62" s="1">
        <v>0</v>
      </c>
      <c r="I62" s="1">
        <v>39678.25</v>
      </c>
      <c r="J62" s="1">
        <v>0</v>
      </c>
      <c r="K62">
        <f t="shared" si="0"/>
        <v>1</v>
      </c>
    </row>
    <row r="63" spans="1:11" x14ac:dyDescent="0.35">
      <c r="A63" s="1">
        <v>62</v>
      </c>
      <c r="B63" s="1">
        <v>64</v>
      </c>
      <c r="C63" s="1" t="s">
        <v>11</v>
      </c>
      <c r="D63" s="1">
        <v>12</v>
      </c>
      <c r="E63" s="1">
        <v>19536.419999999998</v>
      </c>
      <c r="F63" s="1">
        <v>2</v>
      </c>
      <c r="G63" s="1">
        <v>1</v>
      </c>
      <c r="H63" s="1">
        <v>1</v>
      </c>
      <c r="I63" s="1">
        <v>39745.199999999997</v>
      </c>
      <c r="J63" s="1">
        <v>0</v>
      </c>
      <c r="K63">
        <f t="shared" si="0"/>
        <v>1</v>
      </c>
    </row>
    <row r="64" spans="1:11" x14ac:dyDescent="0.35">
      <c r="A64" s="1">
        <v>63</v>
      </c>
      <c r="B64" s="1">
        <v>52</v>
      </c>
      <c r="C64" s="1" t="s">
        <v>11</v>
      </c>
      <c r="D64" s="1">
        <v>22</v>
      </c>
      <c r="E64" s="1">
        <v>39917.21</v>
      </c>
      <c r="F64" s="1">
        <v>2</v>
      </c>
      <c r="G64" s="1">
        <v>1</v>
      </c>
      <c r="H64" s="1">
        <v>0</v>
      </c>
      <c r="I64" s="1">
        <v>62712.56</v>
      </c>
      <c r="J64" s="1">
        <v>0</v>
      </c>
      <c r="K64">
        <f t="shared" si="0"/>
        <v>1</v>
      </c>
    </row>
    <row r="65" spans="1:11" x14ac:dyDescent="0.35">
      <c r="A65" s="1">
        <v>64</v>
      </c>
      <c r="B65" s="1">
        <v>31</v>
      </c>
      <c r="C65" s="1" t="s">
        <v>11</v>
      </c>
      <c r="D65" s="1">
        <v>17</v>
      </c>
      <c r="E65" s="1">
        <v>18596.63</v>
      </c>
      <c r="F65" s="1">
        <v>2</v>
      </c>
      <c r="G65" s="1">
        <v>0</v>
      </c>
      <c r="H65" s="1">
        <v>1</v>
      </c>
      <c r="I65" s="1">
        <v>27080.59</v>
      </c>
      <c r="J65" s="1">
        <v>0</v>
      </c>
      <c r="K65">
        <f t="shared" si="0"/>
        <v>1</v>
      </c>
    </row>
    <row r="66" spans="1:11" x14ac:dyDescent="0.35">
      <c r="A66" s="1">
        <v>65</v>
      </c>
      <c r="B66" s="1">
        <v>34</v>
      </c>
      <c r="C66" s="1" t="s">
        <v>10</v>
      </c>
      <c r="D66" s="1">
        <v>10</v>
      </c>
      <c r="E66" s="1">
        <v>22584.84</v>
      </c>
      <c r="F66" s="1">
        <v>2</v>
      </c>
      <c r="G66" s="1">
        <v>1</v>
      </c>
      <c r="H66" s="1">
        <v>0</v>
      </c>
      <c r="I66" s="1">
        <v>43719.55</v>
      </c>
      <c r="J66" s="1">
        <v>0</v>
      </c>
      <c r="K66">
        <f t="shared" si="0"/>
        <v>1</v>
      </c>
    </row>
    <row r="67" spans="1:11" x14ac:dyDescent="0.35">
      <c r="A67" s="1">
        <v>66</v>
      </c>
      <c r="B67" s="1">
        <v>53</v>
      </c>
      <c r="C67" s="1" t="s">
        <v>11</v>
      </c>
      <c r="D67" s="1">
        <v>65</v>
      </c>
      <c r="E67" s="1">
        <v>19869.07</v>
      </c>
      <c r="F67" s="1">
        <v>3</v>
      </c>
      <c r="G67" s="1">
        <v>1</v>
      </c>
      <c r="H67" s="1">
        <v>1</v>
      </c>
      <c r="I67" s="1">
        <v>145477.25</v>
      </c>
      <c r="J67" s="1">
        <v>0</v>
      </c>
      <c r="K67">
        <f t="shared" ref="K67:K130" si="1">COUNTIF($A$2:$A$1001,A67)</f>
        <v>1</v>
      </c>
    </row>
    <row r="68" spans="1:11" x14ac:dyDescent="0.35">
      <c r="A68" s="1">
        <v>67</v>
      </c>
      <c r="B68" s="1">
        <v>67</v>
      </c>
      <c r="C68" s="1" t="s">
        <v>11</v>
      </c>
      <c r="D68" s="1">
        <v>22</v>
      </c>
      <c r="E68" s="1">
        <v>4670.3999999999996</v>
      </c>
      <c r="F68" s="1">
        <v>3</v>
      </c>
      <c r="G68" s="1">
        <v>1</v>
      </c>
      <c r="H68" s="1">
        <v>1</v>
      </c>
      <c r="I68" s="1">
        <v>75663.91</v>
      </c>
      <c r="J68" s="1">
        <v>0</v>
      </c>
      <c r="K68">
        <f t="shared" si="1"/>
        <v>1</v>
      </c>
    </row>
    <row r="69" spans="1:11" x14ac:dyDescent="0.35">
      <c r="A69" s="1">
        <v>68</v>
      </c>
      <c r="B69" s="1">
        <v>57</v>
      </c>
      <c r="C69" s="1" t="s">
        <v>11</v>
      </c>
      <c r="D69" s="1">
        <v>50</v>
      </c>
      <c r="E69" s="1">
        <v>22053.61</v>
      </c>
      <c r="F69" s="1">
        <v>3</v>
      </c>
      <c r="G69" s="1">
        <v>1</v>
      </c>
      <c r="H69" s="1">
        <v>0</v>
      </c>
      <c r="I69" s="1">
        <v>102162.5</v>
      </c>
      <c r="J69" s="1">
        <v>0</v>
      </c>
      <c r="K69">
        <f t="shared" si="1"/>
        <v>1</v>
      </c>
    </row>
    <row r="70" spans="1:11" x14ac:dyDescent="0.35">
      <c r="A70" s="1">
        <v>69</v>
      </c>
      <c r="B70" s="1">
        <v>21</v>
      </c>
      <c r="C70" s="1" t="s">
        <v>10</v>
      </c>
      <c r="D70" s="1">
        <v>14</v>
      </c>
      <c r="E70" s="1">
        <v>9780.4599999999991</v>
      </c>
      <c r="F70" s="1">
        <v>3</v>
      </c>
      <c r="G70" s="1">
        <v>0</v>
      </c>
      <c r="H70" s="1">
        <v>0</v>
      </c>
      <c r="I70" s="1">
        <v>114394.46</v>
      </c>
      <c r="J70" s="1">
        <v>0</v>
      </c>
      <c r="K70">
        <f t="shared" si="1"/>
        <v>1</v>
      </c>
    </row>
    <row r="71" spans="1:11" x14ac:dyDescent="0.35">
      <c r="A71" s="1">
        <v>70</v>
      </c>
      <c r="B71" s="1">
        <v>19</v>
      </c>
      <c r="C71" s="1" t="s">
        <v>11</v>
      </c>
      <c r="D71" s="1">
        <v>64</v>
      </c>
      <c r="E71" s="1">
        <v>9336.16</v>
      </c>
      <c r="F71" s="1">
        <v>1</v>
      </c>
      <c r="G71" s="1">
        <v>0</v>
      </c>
      <c r="H71" s="1">
        <v>0</v>
      </c>
      <c r="I71" s="1">
        <v>67704.98</v>
      </c>
      <c r="J71" s="1">
        <v>0</v>
      </c>
      <c r="K71">
        <f t="shared" si="1"/>
        <v>1</v>
      </c>
    </row>
    <row r="72" spans="1:11" x14ac:dyDescent="0.35">
      <c r="A72" s="1">
        <v>71</v>
      </c>
      <c r="B72" s="1">
        <v>23</v>
      </c>
      <c r="C72" s="1" t="s">
        <v>10</v>
      </c>
      <c r="D72" s="1">
        <v>47</v>
      </c>
      <c r="E72" s="1">
        <v>4701.8100000000004</v>
      </c>
      <c r="F72" s="1">
        <v>3</v>
      </c>
      <c r="G72" s="1">
        <v>0</v>
      </c>
      <c r="H72" s="1">
        <v>0</v>
      </c>
      <c r="I72" s="1">
        <v>39139.519999999997</v>
      </c>
      <c r="J72" s="1">
        <v>0</v>
      </c>
      <c r="K72">
        <f t="shared" si="1"/>
        <v>1</v>
      </c>
    </row>
    <row r="73" spans="1:11" x14ac:dyDescent="0.35">
      <c r="A73" s="1">
        <v>72</v>
      </c>
      <c r="B73" s="1">
        <v>59</v>
      </c>
      <c r="C73" s="1" t="s">
        <v>10</v>
      </c>
      <c r="D73" s="1">
        <v>29</v>
      </c>
      <c r="E73" s="1">
        <v>17833.55</v>
      </c>
      <c r="F73" s="1">
        <v>2</v>
      </c>
      <c r="G73" s="1">
        <v>0</v>
      </c>
      <c r="H73" s="1">
        <v>1</v>
      </c>
      <c r="I73" s="1">
        <v>46855.53</v>
      </c>
      <c r="J73" s="1">
        <v>0</v>
      </c>
      <c r="K73">
        <f t="shared" si="1"/>
        <v>1</v>
      </c>
    </row>
    <row r="74" spans="1:11" x14ac:dyDescent="0.35">
      <c r="A74" s="1">
        <v>73</v>
      </c>
      <c r="B74" s="1">
        <v>21</v>
      </c>
      <c r="C74" s="1" t="s">
        <v>10</v>
      </c>
      <c r="D74" s="1">
        <v>36</v>
      </c>
      <c r="E74" s="1">
        <v>37874.089999999997</v>
      </c>
      <c r="F74" s="1">
        <v>4</v>
      </c>
      <c r="G74" s="1">
        <v>0</v>
      </c>
      <c r="H74" s="1">
        <v>1</v>
      </c>
      <c r="I74" s="1">
        <v>60724.639999999999</v>
      </c>
      <c r="J74" s="1">
        <v>0</v>
      </c>
      <c r="K74">
        <f t="shared" si="1"/>
        <v>1</v>
      </c>
    </row>
    <row r="75" spans="1:11" x14ac:dyDescent="0.35">
      <c r="A75" s="1">
        <v>74</v>
      </c>
      <c r="B75" s="1">
        <v>46</v>
      </c>
      <c r="C75" s="1" t="s">
        <v>10</v>
      </c>
      <c r="D75" s="1">
        <v>52</v>
      </c>
      <c r="E75" s="1">
        <v>13822.08</v>
      </c>
      <c r="F75" s="1">
        <v>3</v>
      </c>
      <c r="G75" s="1">
        <v>0</v>
      </c>
      <c r="H75" s="1">
        <v>0</v>
      </c>
      <c r="I75" s="1">
        <v>102688.89</v>
      </c>
      <c r="J75" s="1">
        <v>0</v>
      </c>
      <c r="K75">
        <f t="shared" si="1"/>
        <v>1</v>
      </c>
    </row>
    <row r="76" spans="1:11" x14ac:dyDescent="0.35">
      <c r="A76" s="1">
        <v>75</v>
      </c>
      <c r="B76" s="1">
        <v>35</v>
      </c>
      <c r="C76" s="1" t="s">
        <v>10</v>
      </c>
      <c r="D76" s="1">
        <v>7</v>
      </c>
      <c r="E76" s="1">
        <v>15617.46</v>
      </c>
      <c r="F76" s="1">
        <v>1</v>
      </c>
      <c r="G76" s="1">
        <v>1</v>
      </c>
      <c r="H76" s="1">
        <v>0</v>
      </c>
      <c r="I76" s="1">
        <v>71776.47</v>
      </c>
      <c r="J76" s="1">
        <v>0</v>
      </c>
      <c r="K76">
        <f t="shared" si="1"/>
        <v>1</v>
      </c>
    </row>
    <row r="77" spans="1:11" x14ac:dyDescent="0.35">
      <c r="A77" s="1">
        <v>76</v>
      </c>
      <c r="B77" s="1">
        <v>43</v>
      </c>
      <c r="C77" s="1" t="s">
        <v>10</v>
      </c>
      <c r="D77" s="1">
        <v>29</v>
      </c>
      <c r="E77" s="1">
        <v>32133.73</v>
      </c>
      <c r="F77" s="1">
        <v>2</v>
      </c>
      <c r="G77" s="1">
        <v>0</v>
      </c>
      <c r="H77" s="1">
        <v>1</v>
      </c>
      <c r="I77" s="1">
        <v>20885.91</v>
      </c>
      <c r="J77" s="1">
        <v>0</v>
      </c>
      <c r="K77">
        <f t="shared" si="1"/>
        <v>1</v>
      </c>
    </row>
    <row r="78" spans="1:11" x14ac:dyDescent="0.35">
      <c r="A78" s="1">
        <v>77</v>
      </c>
      <c r="B78" s="1">
        <v>61</v>
      </c>
      <c r="C78" s="1" t="s">
        <v>11</v>
      </c>
      <c r="D78" s="1">
        <v>11</v>
      </c>
      <c r="E78" s="1">
        <v>9792.0400000000009</v>
      </c>
      <c r="F78" s="1">
        <v>4</v>
      </c>
      <c r="G78" s="1">
        <v>0</v>
      </c>
      <c r="H78" s="1">
        <v>0</v>
      </c>
      <c r="I78" s="1">
        <v>88042.93</v>
      </c>
      <c r="J78" s="1">
        <v>1</v>
      </c>
      <c r="K78">
        <f t="shared" si="1"/>
        <v>1</v>
      </c>
    </row>
    <row r="79" spans="1:11" x14ac:dyDescent="0.35">
      <c r="A79" s="1">
        <v>78</v>
      </c>
      <c r="B79" s="1">
        <v>51</v>
      </c>
      <c r="C79" s="1" t="s">
        <v>10</v>
      </c>
      <c r="D79" s="1">
        <v>33</v>
      </c>
      <c r="E79" s="1">
        <v>44847.9</v>
      </c>
      <c r="F79" s="1">
        <v>4</v>
      </c>
      <c r="G79" s="1">
        <v>1</v>
      </c>
      <c r="H79" s="1">
        <v>1</v>
      </c>
      <c r="I79" s="1">
        <v>139796.74</v>
      </c>
      <c r="J79" s="1">
        <v>0</v>
      </c>
      <c r="K79">
        <f t="shared" si="1"/>
        <v>1</v>
      </c>
    </row>
    <row r="80" spans="1:11" x14ac:dyDescent="0.35">
      <c r="A80" s="1">
        <v>79</v>
      </c>
      <c r="B80" s="1">
        <v>27</v>
      </c>
      <c r="C80" s="1" t="s">
        <v>11</v>
      </c>
      <c r="D80" s="1">
        <v>6</v>
      </c>
      <c r="E80" s="1">
        <v>26009.53</v>
      </c>
      <c r="F80" s="1">
        <v>3</v>
      </c>
      <c r="G80" s="1">
        <v>0</v>
      </c>
      <c r="H80" s="1">
        <v>0</v>
      </c>
      <c r="I80" s="1">
        <v>125570.09</v>
      </c>
      <c r="J80" s="1">
        <v>0</v>
      </c>
      <c r="K80">
        <f t="shared" si="1"/>
        <v>1</v>
      </c>
    </row>
    <row r="81" spans="1:11" x14ac:dyDescent="0.35">
      <c r="A81" s="1">
        <v>80</v>
      </c>
      <c r="B81" s="1">
        <v>53</v>
      </c>
      <c r="C81" s="1" t="s">
        <v>11</v>
      </c>
      <c r="D81" s="1">
        <v>32</v>
      </c>
      <c r="E81" s="1">
        <v>22380.15</v>
      </c>
      <c r="F81" s="1">
        <v>4</v>
      </c>
      <c r="G81" s="1">
        <v>1</v>
      </c>
      <c r="H81" s="1">
        <v>1</v>
      </c>
      <c r="I81" s="1">
        <v>127277.48</v>
      </c>
      <c r="J81" s="1">
        <v>0</v>
      </c>
      <c r="K81">
        <f t="shared" si="1"/>
        <v>1</v>
      </c>
    </row>
    <row r="82" spans="1:11" x14ac:dyDescent="0.35">
      <c r="A82" s="1">
        <v>81</v>
      </c>
      <c r="B82" s="1">
        <v>31</v>
      </c>
      <c r="C82" s="1" t="s">
        <v>10</v>
      </c>
      <c r="D82" s="1">
        <v>51</v>
      </c>
      <c r="E82" s="1">
        <v>27891.01</v>
      </c>
      <c r="F82" s="1">
        <v>3</v>
      </c>
      <c r="G82" s="1">
        <v>1</v>
      </c>
      <c r="H82" s="1">
        <v>1</v>
      </c>
      <c r="I82" s="1">
        <v>123357.54</v>
      </c>
      <c r="J82" s="1">
        <v>0</v>
      </c>
      <c r="K82">
        <f t="shared" si="1"/>
        <v>1</v>
      </c>
    </row>
    <row r="83" spans="1:11" x14ac:dyDescent="0.35">
      <c r="A83" s="1">
        <v>82</v>
      </c>
      <c r="B83" s="1">
        <v>48</v>
      </c>
      <c r="C83" s="1" t="s">
        <v>11</v>
      </c>
      <c r="D83" s="1">
        <v>58</v>
      </c>
      <c r="E83" s="1">
        <v>8301.7199999999993</v>
      </c>
      <c r="F83" s="1">
        <v>3</v>
      </c>
      <c r="G83" s="1">
        <v>0</v>
      </c>
      <c r="H83" s="1">
        <v>1</v>
      </c>
      <c r="I83" s="1">
        <v>62085.01</v>
      </c>
      <c r="J83" s="1">
        <v>0</v>
      </c>
      <c r="K83">
        <f t="shared" si="1"/>
        <v>1</v>
      </c>
    </row>
    <row r="84" spans="1:11" x14ac:dyDescent="0.35">
      <c r="A84" s="1">
        <v>83</v>
      </c>
      <c r="B84" s="1">
        <v>65</v>
      </c>
      <c r="C84" s="1" t="s">
        <v>11</v>
      </c>
      <c r="D84" s="1">
        <v>26</v>
      </c>
      <c r="E84" s="1">
        <v>30673.66</v>
      </c>
      <c r="F84" s="1">
        <v>2</v>
      </c>
      <c r="G84" s="1">
        <v>1</v>
      </c>
      <c r="H84" s="1">
        <v>1</v>
      </c>
      <c r="I84" s="1">
        <v>119475.2</v>
      </c>
      <c r="J84" s="1">
        <v>0</v>
      </c>
      <c r="K84">
        <f t="shared" si="1"/>
        <v>1</v>
      </c>
    </row>
    <row r="85" spans="1:11" x14ac:dyDescent="0.35">
      <c r="A85" s="1">
        <v>84</v>
      </c>
      <c r="B85" s="1">
        <v>32</v>
      </c>
      <c r="C85" s="1" t="s">
        <v>11</v>
      </c>
      <c r="D85" s="1">
        <v>46</v>
      </c>
      <c r="E85" s="1">
        <v>18155.04</v>
      </c>
      <c r="F85" s="1">
        <v>2</v>
      </c>
      <c r="G85" s="1">
        <v>0</v>
      </c>
      <c r="H85" s="1">
        <v>1</v>
      </c>
      <c r="I85" s="1">
        <v>38610.980000000003</v>
      </c>
      <c r="J85" s="1">
        <v>0</v>
      </c>
      <c r="K85">
        <f t="shared" si="1"/>
        <v>1</v>
      </c>
    </row>
    <row r="86" spans="1:11" x14ac:dyDescent="0.35">
      <c r="A86" s="1">
        <v>85</v>
      </c>
      <c r="B86" s="1">
        <v>25</v>
      </c>
      <c r="C86" s="1" t="s">
        <v>11</v>
      </c>
      <c r="D86" s="1">
        <v>29</v>
      </c>
      <c r="E86" s="1">
        <v>44859.32</v>
      </c>
      <c r="F86" s="1">
        <v>1</v>
      </c>
      <c r="G86" s="1">
        <v>0</v>
      </c>
      <c r="H86" s="1">
        <v>0</v>
      </c>
      <c r="I86" s="1">
        <v>105503.1</v>
      </c>
      <c r="J86" s="1">
        <v>0</v>
      </c>
      <c r="K86">
        <f t="shared" si="1"/>
        <v>1</v>
      </c>
    </row>
    <row r="87" spans="1:11" x14ac:dyDescent="0.35">
      <c r="A87" s="1">
        <v>86</v>
      </c>
      <c r="B87" s="1">
        <v>31</v>
      </c>
      <c r="C87" s="1" t="s">
        <v>10</v>
      </c>
      <c r="D87" s="1">
        <v>4</v>
      </c>
      <c r="E87" s="1">
        <v>8442.7099999999991</v>
      </c>
      <c r="F87" s="1">
        <v>2</v>
      </c>
      <c r="G87" s="1">
        <v>1</v>
      </c>
      <c r="H87" s="1">
        <v>1</v>
      </c>
      <c r="I87" s="1">
        <v>103403.91</v>
      </c>
      <c r="J87" s="1">
        <v>0</v>
      </c>
      <c r="K87">
        <f t="shared" si="1"/>
        <v>1</v>
      </c>
    </row>
    <row r="88" spans="1:11" x14ac:dyDescent="0.35">
      <c r="A88" s="1">
        <v>87</v>
      </c>
      <c r="B88" s="1">
        <v>40</v>
      </c>
      <c r="C88" s="1" t="s">
        <v>11</v>
      </c>
      <c r="D88" s="1">
        <v>13</v>
      </c>
      <c r="E88" s="1">
        <v>25352.560000000001</v>
      </c>
      <c r="F88" s="1">
        <v>2</v>
      </c>
      <c r="G88" s="1">
        <v>1</v>
      </c>
      <c r="H88" s="1">
        <v>0</v>
      </c>
      <c r="I88" s="1">
        <v>23324.07</v>
      </c>
      <c r="J88" s="1">
        <v>0</v>
      </c>
      <c r="K88">
        <f t="shared" si="1"/>
        <v>1</v>
      </c>
    </row>
    <row r="89" spans="1:11" x14ac:dyDescent="0.35">
      <c r="A89" s="1">
        <v>88</v>
      </c>
      <c r="B89" s="1">
        <v>57</v>
      </c>
      <c r="C89" s="1" t="s">
        <v>10</v>
      </c>
      <c r="D89" s="1">
        <v>39</v>
      </c>
      <c r="E89" s="1">
        <v>29905.63</v>
      </c>
      <c r="F89" s="1">
        <v>3</v>
      </c>
      <c r="G89" s="1">
        <v>0</v>
      </c>
      <c r="H89" s="1">
        <v>1</v>
      </c>
      <c r="I89" s="1">
        <v>122436.12</v>
      </c>
      <c r="J89" s="1">
        <v>0</v>
      </c>
      <c r="K89">
        <f t="shared" si="1"/>
        <v>1</v>
      </c>
    </row>
    <row r="90" spans="1:11" x14ac:dyDescent="0.35">
      <c r="A90" s="1">
        <v>89</v>
      </c>
      <c r="B90" s="1">
        <v>38</v>
      </c>
      <c r="C90" s="1" t="s">
        <v>11</v>
      </c>
      <c r="D90" s="1">
        <v>15</v>
      </c>
      <c r="E90" s="1">
        <v>1669.18</v>
      </c>
      <c r="F90" s="1">
        <v>2</v>
      </c>
      <c r="G90" s="1">
        <v>1</v>
      </c>
      <c r="H90" s="1">
        <v>1</v>
      </c>
      <c r="I90" s="1">
        <v>137422.25</v>
      </c>
      <c r="J90" s="1">
        <v>0</v>
      </c>
      <c r="K90">
        <f t="shared" si="1"/>
        <v>1</v>
      </c>
    </row>
    <row r="91" spans="1:11" x14ac:dyDescent="0.35">
      <c r="A91" s="1">
        <v>90</v>
      </c>
      <c r="B91" s="1">
        <v>33</v>
      </c>
      <c r="C91" s="1" t="s">
        <v>11</v>
      </c>
      <c r="D91" s="1">
        <v>29</v>
      </c>
      <c r="E91" s="1">
        <v>18184.66</v>
      </c>
      <c r="F91" s="1">
        <v>3</v>
      </c>
      <c r="G91" s="1">
        <v>1</v>
      </c>
      <c r="H91" s="1">
        <v>0</v>
      </c>
      <c r="I91" s="1">
        <v>54763.99</v>
      </c>
      <c r="J91" s="1">
        <v>0</v>
      </c>
      <c r="K91">
        <f t="shared" si="1"/>
        <v>1</v>
      </c>
    </row>
    <row r="92" spans="1:11" x14ac:dyDescent="0.35">
      <c r="A92" s="1">
        <v>91</v>
      </c>
      <c r="B92" s="1">
        <v>62</v>
      </c>
      <c r="C92" s="1" t="s">
        <v>10</v>
      </c>
      <c r="D92" s="1">
        <v>29</v>
      </c>
      <c r="E92" s="1">
        <v>36631.760000000002</v>
      </c>
      <c r="F92" s="1">
        <v>3</v>
      </c>
      <c r="G92" s="1">
        <v>0</v>
      </c>
      <c r="H92" s="1">
        <v>0</v>
      </c>
      <c r="I92" s="1">
        <v>125610.79</v>
      </c>
      <c r="J92" s="1">
        <v>0</v>
      </c>
      <c r="K92">
        <f t="shared" si="1"/>
        <v>1</v>
      </c>
    </row>
    <row r="93" spans="1:11" x14ac:dyDescent="0.35">
      <c r="A93" s="1">
        <v>92</v>
      </c>
      <c r="B93" s="1">
        <v>35</v>
      </c>
      <c r="C93" s="1" t="s">
        <v>11</v>
      </c>
      <c r="D93" s="1">
        <v>32</v>
      </c>
      <c r="E93" s="1">
        <v>41018.879999999997</v>
      </c>
      <c r="F93" s="1">
        <v>2</v>
      </c>
      <c r="G93" s="1">
        <v>0</v>
      </c>
      <c r="H93" s="1">
        <v>0</v>
      </c>
      <c r="I93" s="1">
        <v>30712.78</v>
      </c>
      <c r="J93" s="1">
        <v>0</v>
      </c>
      <c r="K93">
        <f t="shared" si="1"/>
        <v>1</v>
      </c>
    </row>
    <row r="94" spans="1:11" x14ac:dyDescent="0.35">
      <c r="A94" s="1">
        <v>93</v>
      </c>
      <c r="B94" s="1">
        <v>64</v>
      </c>
      <c r="C94" s="1" t="s">
        <v>11</v>
      </c>
      <c r="D94" s="1">
        <v>2</v>
      </c>
      <c r="E94" s="1">
        <v>15658.1</v>
      </c>
      <c r="F94" s="1">
        <v>1</v>
      </c>
      <c r="G94" s="1">
        <v>1</v>
      </c>
      <c r="H94" s="1">
        <v>0</v>
      </c>
      <c r="I94" s="1">
        <v>97995.82</v>
      </c>
      <c r="J94" s="1">
        <v>0</v>
      </c>
      <c r="K94">
        <f t="shared" si="1"/>
        <v>1</v>
      </c>
    </row>
    <row r="95" spans="1:11" x14ac:dyDescent="0.35">
      <c r="A95" s="1">
        <v>94</v>
      </c>
      <c r="B95" s="1">
        <v>41</v>
      </c>
      <c r="C95" s="1" t="s">
        <v>11</v>
      </c>
      <c r="D95" s="1">
        <v>47</v>
      </c>
      <c r="E95" s="1">
        <v>39929.660000000003</v>
      </c>
      <c r="F95" s="1">
        <v>1</v>
      </c>
      <c r="G95" s="1">
        <v>0</v>
      </c>
      <c r="H95" s="1">
        <v>1</v>
      </c>
      <c r="I95" s="1">
        <v>83134.09</v>
      </c>
      <c r="J95" s="1">
        <v>0</v>
      </c>
      <c r="K95">
        <f t="shared" si="1"/>
        <v>1</v>
      </c>
    </row>
    <row r="96" spans="1:11" x14ac:dyDescent="0.35">
      <c r="A96" s="1">
        <v>95</v>
      </c>
      <c r="B96" s="1">
        <v>43</v>
      </c>
      <c r="C96" s="1" t="s">
        <v>10</v>
      </c>
      <c r="D96" s="1">
        <v>22</v>
      </c>
      <c r="E96" s="1">
        <v>48387.79</v>
      </c>
      <c r="F96" s="1">
        <v>4</v>
      </c>
      <c r="G96" s="1">
        <v>0</v>
      </c>
      <c r="H96" s="1">
        <v>0</v>
      </c>
      <c r="I96" s="1">
        <v>90970.06</v>
      </c>
      <c r="J96" s="1">
        <v>0</v>
      </c>
      <c r="K96">
        <f t="shared" si="1"/>
        <v>1</v>
      </c>
    </row>
    <row r="97" spans="1:11" x14ac:dyDescent="0.35">
      <c r="A97" s="1">
        <v>96</v>
      </c>
      <c r="B97" s="1">
        <v>42</v>
      </c>
      <c r="C97" s="1" t="s">
        <v>11</v>
      </c>
      <c r="D97" s="1">
        <v>27</v>
      </c>
      <c r="E97" s="1">
        <v>42843.7</v>
      </c>
      <c r="F97" s="1">
        <v>4</v>
      </c>
      <c r="G97" s="1">
        <v>0</v>
      </c>
      <c r="H97" s="1">
        <v>1</v>
      </c>
      <c r="I97" s="1">
        <v>140406.68</v>
      </c>
      <c r="J97" s="1">
        <v>0</v>
      </c>
      <c r="K97">
        <f t="shared" si="1"/>
        <v>1</v>
      </c>
    </row>
    <row r="98" spans="1:11" x14ac:dyDescent="0.35">
      <c r="A98" s="1">
        <v>97</v>
      </c>
      <c r="B98" s="1">
        <v>62</v>
      </c>
      <c r="C98" s="1" t="s">
        <v>10</v>
      </c>
      <c r="D98" s="1">
        <v>67</v>
      </c>
      <c r="E98" s="1">
        <v>5882.2</v>
      </c>
      <c r="F98" s="1">
        <v>2</v>
      </c>
      <c r="G98" s="1">
        <v>0</v>
      </c>
      <c r="H98" s="1">
        <v>0</v>
      </c>
      <c r="I98" s="1">
        <v>133270.98000000001</v>
      </c>
      <c r="J98" s="1">
        <v>0</v>
      </c>
      <c r="K98">
        <f t="shared" si="1"/>
        <v>1</v>
      </c>
    </row>
    <row r="99" spans="1:11" x14ac:dyDescent="0.35">
      <c r="A99" s="1">
        <v>98</v>
      </c>
      <c r="B99" s="1">
        <v>58</v>
      </c>
      <c r="C99" s="1" t="s">
        <v>11</v>
      </c>
      <c r="D99" s="1">
        <v>56</v>
      </c>
      <c r="E99" s="1">
        <v>36986.519999999997</v>
      </c>
      <c r="F99" s="1">
        <v>1</v>
      </c>
      <c r="G99" s="1">
        <v>0</v>
      </c>
      <c r="H99" s="1">
        <v>0</v>
      </c>
      <c r="I99" s="1">
        <v>122060.88</v>
      </c>
      <c r="J99" s="1">
        <v>0</v>
      </c>
      <c r="K99">
        <f t="shared" si="1"/>
        <v>1</v>
      </c>
    </row>
    <row r="100" spans="1:11" x14ac:dyDescent="0.35">
      <c r="A100" s="1">
        <v>99</v>
      </c>
      <c r="B100" s="1">
        <v>46</v>
      </c>
      <c r="C100" s="1" t="s">
        <v>10</v>
      </c>
      <c r="D100" s="1">
        <v>21</v>
      </c>
      <c r="E100" s="1">
        <v>15983.34</v>
      </c>
      <c r="F100" s="1">
        <v>3</v>
      </c>
      <c r="G100" s="1">
        <v>0</v>
      </c>
      <c r="H100" s="1">
        <v>1</v>
      </c>
      <c r="I100" s="1">
        <v>55580.800000000003</v>
      </c>
      <c r="J100" s="1">
        <v>0</v>
      </c>
      <c r="K100">
        <f t="shared" si="1"/>
        <v>1</v>
      </c>
    </row>
    <row r="101" spans="1:11" x14ac:dyDescent="0.35">
      <c r="A101" s="1">
        <v>100</v>
      </c>
      <c r="B101" s="1">
        <v>32</v>
      </c>
      <c r="C101" s="1" t="s">
        <v>10</v>
      </c>
      <c r="D101" s="1">
        <v>47</v>
      </c>
      <c r="E101" s="1">
        <v>49420.800000000003</v>
      </c>
      <c r="F101" s="1">
        <v>4</v>
      </c>
      <c r="G101" s="1">
        <v>0</v>
      </c>
      <c r="H101" s="1">
        <v>1</v>
      </c>
      <c r="I101" s="1">
        <v>138536.42000000001</v>
      </c>
      <c r="J101" s="1">
        <v>0</v>
      </c>
      <c r="K101">
        <f t="shared" si="1"/>
        <v>1</v>
      </c>
    </row>
    <row r="102" spans="1:11" x14ac:dyDescent="0.35">
      <c r="A102" s="1">
        <v>101</v>
      </c>
      <c r="B102" s="1">
        <v>62</v>
      </c>
      <c r="C102" s="1" t="s">
        <v>11</v>
      </c>
      <c r="D102" s="1">
        <v>59</v>
      </c>
      <c r="E102" s="1">
        <v>24267.95</v>
      </c>
      <c r="F102" s="1">
        <v>3</v>
      </c>
      <c r="G102" s="1">
        <v>1</v>
      </c>
      <c r="H102" s="1">
        <v>0</v>
      </c>
      <c r="I102" s="1">
        <v>32676</v>
      </c>
      <c r="J102" s="1">
        <v>0</v>
      </c>
      <c r="K102">
        <f t="shared" si="1"/>
        <v>1</v>
      </c>
    </row>
    <row r="103" spans="1:11" x14ac:dyDescent="0.35">
      <c r="A103" s="1">
        <v>102</v>
      </c>
      <c r="B103" s="1">
        <v>18</v>
      </c>
      <c r="C103" s="1" t="s">
        <v>11</v>
      </c>
      <c r="D103" s="1">
        <v>6</v>
      </c>
      <c r="E103" s="1">
        <v>6121.69</v>
      </c>
      <c r="F103" s="1">
        <v>4</v>
      </c>
      <c r="G103" s="1">
        <v>0</v>
      </c>
      <c r="H103" s="1">
        <v>1</v>
      </c>
      <c r="I103" s="1">
        <v>130932.8</v>
      </c>
      <c r="J103" s="1">
        <v>0</v>
      </c>
      <c r="K103">
        <f t="shared" si="1"/>
        <v>1</v>
      </c>
    </row>
    <row r="104" spans="1:11" x14ac:dyDescent="0.35">
      <c r="A104" s="1">
        <v>103</v>
      </c>
      <c r="B104" s="1">
        <v>42</v>
      </c>
      <c r="C104" s="1" t="s">
        <v>10</v>
      </c>
      <c r="D104" s="1">
        <v>19</v>
      </c>
      <c r="E104" s="1">
        <v>36259.279999999999</v>
      </c>
      <c r="F104" s="1">
        <v>2</v>
      </c>
      <c r="G104" s="1">
        <v>1</v>
      </c>
      <c r="H104" s="1">
        <v>1</v>
      </c>
      <c r="I104" s="1">
        <v>62660.81</v>
      </c>
      <c r="J104" s="1">
        <v>0</v>
      </c>
      <c r="K104">
        <f t="shared" si="1"/>
        <v>1</v>
      </c>
    </row>
    <row r="105" spans="1:11" x14ac:dyDescent="0.35">
      <c r="A105" s="1">
        <v>104</v>
      </c>
      <c r="B105" s="1">
        <v>24</v>
      </c>
      <c r="C105" s="1" t="s">
        <v>10</v>
      </c>
      <c r="D105" s="1">
        <v>57</v>
      </c>
      <c r="E105" s="1">
        <v>16150.56</v>
      </c>
      <c r="F105" s="1">
        <v>1</v>
      </c>
      <c r="G105" s="1">
        <v>1</v>
      </c>
      <c r="H105" s="1">
        <v>1</v>
      </c>
      <c r="I105" s="1">
        <v>26990.400000000001</v>
      </c>
      <c r="J105" s="1">
        <v>0</v>
      </c>
      <c r="K105">
        <f t="shared" si="1"/>
        <v>1</v>
      </c>
    </row>
    <row r="106" spans="1:11" x14ac:dyDescent="0.35">
      <c r="A106" s="1">
        <v>105</v>
      </c>
      <c r="B106" s="1">
        <v>26</v>
      </c>
      <c r="C106" s="1" t="s">
        <v>11</v>
      </c>
      <c r="D106" s="1">
        <v>69</v>
      </c>
      <c r="E106" s="1">
        <v>49853.91</v>
      </c>
      <c r="F106" s="1">
        <v>4</v>
      </c>
      <c r="G106" s="1">
        <v>1</v>
      </c>
      <c r="H106" s="1">
        <v>1</v>
      </c>
      <c r="I106" s="1">
        <v>107016.41</v>
      </c>
      <c r="J106" s="1">
        <v>0</v>
      </c>
      <c r="K106">
        <f t="shared" si="1"/>
        <v>1</v>
      </c>
    </row>
    <row r="107" spans="1:11" x14ac:dyDescent="0.35">
      <c r="A107" s="1">
        <v>106</v>
      </c>
      <c r="B107" s="1">
        <v>41</v>
      </c>
      <c r="C107" s="1" t="s">
        <v>10</v>
      </c>
      <c r="D107" s="1">
        <v>3</v>
      </c>
      <c r="E107" s="1">
        <v>48989.120000000003</v>
      </c>
      <c r="F107" s="1">
        <v>1</v>
      </c>
      <c r="G107" s="1">
        <v>0</v>
      </c>
      <c r="H107" s="1">
        <v>1</v>
      </c>
      <c r="I107" s="1">
        <v>50066.39</v>
      </c>
      <c r="J107" s="1">
        <v>0</v>
      </c>
      <c r="K107">
        <f t="shared" si="1"/>
        <v>1</v>
      </c>
    </row>
    <row r="108" spans="1:11" x14ac:dyDescent="0.35">
      <c r="A108" s="1">
        <v>107</v>
      </c>
      <c r="B108" s="1">
        <v>18</v>
      </c>
      <c r="C108" s="1" t="s">
        <v>11</v>
      </c>
      <c r="D108" s="1">
        <v>1</v>
      </c>
      <c r="E108" s="1">
        <v>32806.699999999997</v>
      </c>
      <c r="F108" s="1">
        <v>3</v>
      </c>
      <c r="G108" s="1">
        <v>0</v>
      </c>
      <c r="H108" s="1">
        <v>1</v>
      </c>
      <c r="I108" s="1">
        <v>51664.25</v>
      </c>
      <c r="J108" s="1">
        <v>0</v>
      </c>
      <c r="K108">
        <f t="shared" si="1"/>
        <v>1</v>
      </c>
    </row>
    <row r="109" spans="1:11" x14ac:dyDescent="0.35">
      <c r="A109" s="1">
        <v>108</v>
      </c>
      <c r="B109" s="1">
        <v>61</v>
      </c>
      <c r="C109" s="1" t="s">
        <v>11</v>
      </c>
      <c r="D109" s="1">
        <v>58</v>
      </c>
      <c r="E109" s="1">
        <v>6491.32</v>
      </c>
      <c r="F109" s="1">
        <v>2</v>
      </c>
      <c r="G109" s="1">
        <v>1</v>
      </c>
      <c r="H109" s="1">
        <v>1</v>
      </c>
      <c r="I109" s="1">
        <v>59786.13</v>
      </c>
      <c r="J109" s="1">
        <v>0</v>
      </c>
      <c r="K109">
        <f t="shared" si="1"/>
        <v>1</v>
      </c>
    </row>
    <row r="110" spans="1:11" x14ac:dyDescent="0.35">
      <c r="A110" s="1">
        <v>109</v>
      </c>
      <c r="B110" s="1">
        <v>25</v>
      </c>
      <c r="C110" s="1" t="s">
        <v>11</v>
      </c>
      <c r="D110" s="1">
        <v>38</v>
      </c>
      <c r="E110" s="1">
        <v>34343.050000000003</v>
      </c>
      <c r="F110" s="1">
        <v>1</v>
      </c>
      <c r="G110" s="1">
        <v>0</v>
      </c>
      <c r="H110" s="1">
        <v>1</v>
      </c>
      <c r="I110" s="1">
        <v>28279.02</v>
      </c>
      <c r="J110" s="1">
        <v>0</v>
      </c>
      <c r="K110">
        <f t="shared" si="1"/>
        <v>1</v>
      </c>
    </row>
    <row r="111" spans="1:11" x14ac:dyDescent="0.35">
      <c r="A111" s="1">
        <v>110</v>
      </c>
      <c r="B111" s="1">
        <v>41</v>
      </c>
      <c r="C111" s="1" t="s">
        <v>11</v>
      </c>
      <c r="D111" s="1">
        <v>15</v>
      </c>
      <c r="E111" s="1">
        <v>4651.5200000000004</v>
      </c>
      <c r="F111" s="1">
        <v>2</v>
      </c>
      <c r="G111" s="1">
        <v>1</v>
      </c>
      <c r="H111" s="1">
        <v>0</v>
      </c>
      <c r="I111" s="1">
        <v>43026.53</v>
      </c>
      <c r="J111" s="1">
        <v>0</v>
      </c>
      <c r="K111">
        <f t="shared" si="1"/>
        <v>1</v>
      </c>
    </row>
    <row r="112" spans="1:11" x14ac:dyDescent="0.35">
      <c r="A112" s="1">
        <v>111</v>
      </c>
      <c r="B112" s="1">
        <v>28</v>
      </c>
      <c r="C112" s="1" t="s">
        <v>10</v>
      </c>
      <c r="D112" s="1">
        <v>34</v>
      </c>
      <c r="E112" s="1">
        <v>1468.21</v>
      </c>
      <c r="F112" s="1">
        <v>1</v>
      </c>
      <c r="G112" s="1">
        <v>0</v>
      </c>
      <c r="H112" s="1">
        <v>1</v>
      </c>
      <c r="I112" s="1">
        <v>20668.150000000001</v>
      </c>
      <c r="J112" s="1">
        <v>0</v>
      </c>
      <c r="K112">
        <f t="shared" si="1"/>
        <v>1</v>
      </c>
    </row>
    <row r="113" spans="1:11" x14ac:dyDescent="0.35">
      <c r="A113" s="1">
        <v>112</v>
      </c>
      <c r="B113" s="1">
        <v>68</v>
      </c>
      <c r="C113" s="1" t="s">
        <v>11</v>
      </c>
      <c r="D113" s="1">
        <v>61</v>
      </c>
      <c r="E113" s="1">
        <v>41147.919999999998</v>
      </c>
      <c r="F113" s="1">
        <v>3</v>
      </c>
      <c r="G113" s="1">
        <v>0</v>
      </c>
      <c r="H113" s="1">
        <v>0</v>
      </c>
      <c r="I113" s="1">
        <v>77903.240000000005</v>
      </c>
      <c r="J113" s="1">
        <v>0</v>
      </c>
      <c r="K113">
        <f t="shared" si="1"/>
        <v>1</v>
      </c>
    </row>
    <row r="114" spans="1:11" x14ac:dyDescent="0.35">
      <c r="A114" s="1">
        <v>113</v>
      </c>
      <c r="B114" s="1">
        <v>34</v>
      </c>
      <c r="C114" s="1" t="s">
        <v>10</v>
      </c>
      <c r="D114" s="1">
        <v>35</v>
      </c>
      <c r="E114" s="1">
        <v>10487.65</v>
      </c>
      <c r="F114" s="1">
        <v>3</v>
      </c>
      <c r="G114" s="1">
        <v>1</v>
      </c>
      <c r="H114" s="1">
        <v>1</v>
      </c>
      <c r="I114" s="1">
        <v>30953.200000000001</v>
      </c>
      <c r="J114" s="1">
        <v>0</v>
      </c>
      <c r="K114">
        <f t="shared" si="1"/>
        <v>1</v>
      </c>
    </row>
    <row r="115" spans="1:11" x14ac:dyDescent="0.35">
      <c r="A115" s="1">
        <v>114</v>
      </c>
      <c r="B115" s="1">
        <v>25</v>
      </c>
      <c r="C115" s="1" t="s">
        <v>11</v>
      </c>
      <c r="D115" s="1">
        <v>64</v>
      </c>
      <c r="E115" s="1">
        <v>18951.36</v>
      </c>
      <c r="F115" s="1">
        <v>2</v>
      </c>
      <c r="G115" s="1">
        <v>1</v>
      </c>
      <c r="H115" s="1">
        <v>1</v>
      </c>
      <c r="I115" s="1">
        <v>108744.84</v>
      </c>
      <c r="J115" s="1">
        <v>0</v>
      </c>
      <c r="K115">
        <f t="shared" si="1"/>
        <v>1</v>
      </c>
    </row>
    <row r="116" spans="1:11" x14ac:dyDescent="0.35">
      <c r="A116" s="1">
        <v>115</v>
      </c>
      <c r="B116" s="1">
        <v>52</v>
      </c>
      <c r="C116" s="1" t="s">
        <v>10</v>
      </c>
      <c r="D116" s="1">
        <v>25</v>
      </c>
      <c r="E116" s="1">
        <v>48672.87</v>
      </c>
      <c r="F116" s="1">
        <v>3</v>
      </c>
      <c r="G116" s="1">
        <v>1</v>
      </c>
      <c r="H116" s="1">
        <v>1</v>
      </c>
      <c r="I116" s="1">
        <v>50630.97</v>
      </c>
      <c r="J116" s="1">
        <v>0</v>
      </c>
      <c r="K116">
        <f t="shared" si="1"/>
        <v>1</v>
      </c>
    </row>
    <row r="117" spans="1:11" x14ac:dyDescent="0.35">
      <c r="A117" s="1">
        <v>116</v>
      </c>
      <c r="B117" s="1">
        <v>52</v>
      </c>
      <c r="C117" s="1" t="s">
        <v>11</v>
      </c>
      <c r="D117" s="1">
        <v>24</v>
      </c>
      <c r="E117" s="1">
        <v>16842.03</v>
      </c>
      <c r="F117" s="1">
        <v>4</v>
      </c>
      <c r="G117" s="1">
        <v>0</v>
      </c>
      <c r="H117" s="1">
        <v>1</v>
      </c>
      <c r="I117" s="1">
        <v>142664.64000000001</v>
      </c>
      <c r="J117" s="1">
        <v>0</v>
      </c>
      <c r="K117">
        <f t="shared" si="1"/>
        <v>1</v>
      </c>
    </row>
    <row r="118" spans="1:11" x14ac:dyDescent="0.35">
      <c r="A118" s="1">
        <v>117</v>
      </c>
      <c r="B118" s="1">
        <v>50</v>
      </c>
      <c r="C118" s="1" t="s">
        <v>10</v>
      </c>
      <c r="D118" s="1">
        <v>12</v>
      </c>
      <c r="E118" s="1">
        <v>14824.49</v>
      </c>
      <c r="F118" s="1">
        <v>1</v>
      </c>
      <c r="G118" s="1">
        <v>1</v>
      </c>
      <c r="H118" s="1">
        <v>0</v>
      </c>
      <c r="I118" s="1">
        <v>133262.71</v>
      </c>
      <c r="J118" s="1">
        <v>0</v>
      </c>
      <c r="K118">
        <f t="shared" si="1"/>
        <v>1</v>
      </c>
    </row>
    <row r="119" spans="1:11" x14ac:dyDescent="0.35">
      <c r="A119" s="1">
        <v>118</v>
      </c>
      <c r="B119" s="1">
        <v>22</v>
      </c>
      <c r="C119" s="1" t="s">
        <v>10</v>
      </c>
      <c r="D119" s="1">
        <v>18</v>
      </c>
      <c r="E119" s="1">
        <v>45910.400000000001</v>
      </c>
      <c r="F119" s="1">
        <v>3</v>
      </c>
      <c r="G119" s="1">
        <v>0</v>
      </c>
      <c r="H119" s="1">
        <v>0</v>
      </c>
      <c r="I119" s="1">
        <v>57627.32</v>
      </c>
      <c r="J119" s="1">
        <v>0</v>
      </c>
      <c r="K119">
        <f t="shared" si="1"/>
        <v>1</v>
      </c>
    </row>
    <row r="120" spans="1:11" x14ac:dyDescent="0.35">
      <c r="A120" s="1">
        <v>119</v>
      </c>
      <c r="B120" s="1">
        <v>59</v>
      </c>
      <c r="C120" s="1" t="s">
        <v>11</v>
      </c>
      <c r="D120" s="1">
        <v>15</v>
      </c>
      <c r="E120" s="1">
        <v>5537.42</v>
      </c>
      <c r="F120" s="1">
        <v>4</v>
      </c>
      <c r="G120" s="1">
        <v>0</v>
      </c>
      <c r="H120" s="1">
        <v>1</v>
      </c>
      <c r="I120" s="1">
        <v>121818.01</v>
      </c>
      <c r="J120" s="1">
        <v>0</v>
      </c>
      <c r="K120">
        <f t="shared" si="1"/>
        <v>1</v>
      </c>
    </row>
    <row r="121" spans="1:11" x14ac:dyDescent="0.35">
      <c r="A121" s="1">
        <v>120</v>
      </c>
      <c r="B121" s="1">
        <v>56</v>
      </c>
      <c r="C121" s="1" t="s">
        <v>11</v>
      </c>
      <c r="D121" s="1">
        <v>27</v>
      </c>
      <c r="E121" s="1">
        <v>37979.120000000003</v>
      </c>
      <c r="F121" s="1">
        <v>2</v>
      </c>
      <c r="G121" s="1">
        <v>0</v>
      </c>
      <c r="H121" s="1">
        <v>0</v>
      </c>
      <c r="I121" s="1">
        <v>124421.84</v>
      </c>
      <c r="J121" s="1">
        <v>0</v>
      </c>
      <c r="K121">
        <f t="shared" si="1"/>
        <v>1</v>
      </c>
    </row>
    <row r="122" spans="1:11" x14ac:dyDescent="0.35">
      <c r="A122" s="1">
        <v>121</v>
      </c>
      <c r="B122" s="1">
        <v>58</v>
      </c>
      <c r="C122" s="1" t="s">
        <v>11</v>
      </c>
      <c r="D122" s="1">
        <v>60</v>
      </c>
      <c r="E122" s="1">
        <v>49403.28</v>
      </c>
      <c r="F122" s="1">
        <v>4</v>
      </c>
      <c r="G122" s="1">
        <v>1</v>
      </c>
      <c r="H122" s="1">
        <v>1</v>
      </c>
      <c r="I122" s="1">
        <v>148253.20000000001</v>
      </c>
      <c r="J122" s="1">
        <v>0</v>
      </c>
      <c r="K122">
        <f t="shared" si="1"/>
        <v>1</v>
      </c>
    </row>
    <row r="123" spans="1:11" x14ac:dyDescent="0.35">
      <c r="A123" s="1">
        <v>122</v>
      </c>
      <c r="B123" s="1">
        <v>45</v>
      </c>
      <c r="C123" s="1" t="s">
        <v>11</v>
      </c>
      <c r="D123" s="1">
        <v>46</v>
      </c>
      <c r="E123" s="1">
        <v>45064.800000000003</v>
      </c>
      <c r="F123" s="1">
        <v>2</v>
      </c>
      <c r="G123" s="1">
        <v>1</v>
      </c>
      <c r="H123" s="1">
        <v>1</v>
      </c>
      <c r="I123" s="1">
        <v>97719.2</v>
      </c>
      <c r="J123" s="1">
        <v>0</v>
      </c>
      <c r="K123">
        <f t="shared" si="1"/>
        <v>1</v>
      </c>
    </row>
    <row r="124" spans="1:11" x14ac:dyDescent="0.35">
      <c r="A124" s="1">
        <v>123</v>
      </c>
      <c r="B124" s="1">
        <v>24</v>
      </c>
      <c r="C124" s="1" t="s">
        <v>10</v>
      </c>
      <c r="D124" s="1">
        <v>17</v>
      </c>
      <c r="E124" s="1">
        <v>32583.4</v>
      </c>
      <c r="F124" s="1">
        <v>2</v>
      </c>
      <c r="G124" s="1">
        <v>1</v>
      </c>
      <c r="H124" s="1">
        <v>0</v>
      </c>
      <c r="I124" s="1">
        <v>30655.55</v>
      </c>
      <c r="J124" s="1">
        <v>0</v>
      </c>
      <c r="K124">
        <f t="shared" si="1"/>
        <v>1</v>
      </c>
    </row>
    <row r="125" spans="1:11" x14ac:dyDescent="0.35">
      <c r="A125" s="1">
        <v>124</v>
      </c>
      <c r="B125" s="1">
        <v>26</v>
      </c>
      <c r="C125" s="1" t="s">
        <v>11</v>
      </c>
      <c r="D125" s="1">
        <v>53</v>
      </c>
      <c r="E125" s="1">
        <v>15703.04</v>
      </c>
      <c r="F125" s="1">
        <v>1</v>
      </c>
      <c r="G125" s="1">
        <v>0</v>
      </c>
      <c r="H125" s="1">
        <v>0</v>
      </c>
      <c r="I125" s="1">
        <v>104088.84</v>
      </c>
      <c r="J125" s="1">
        <v>0</v>
      </c>
      <c r="K125">
        <f t="shared" si="1"/>
        <v>1</v>
      </c>
    </row>
    <row r="126" spans="1:11" x14ac:dyDescent="0.35">
      <c r="A126" s="1">
        <v>125</v>
      </c>
      <c r="B126" s="1">
        <v>25</v>
      </c>
      <c r="C126" s="1" t="s">
        <v>10</v>
      </c>
      <c r="D126" s="1">
        <v>8</v>
      </c>
      <c r="E126" s="1">
        <v>12716.1</v>
      </c>
      <c r="F126" s="1">
        <v>1</v>
      </c>
      <c r="G126" s="1">
        <v>0</v>
      </c>
      <c r="H126" s="1">
        <v>1</v>
      </c>
      <c r="I126" s="1">
        <v>101247.37</v>
      </c>
      <c r="J126" s="1">
        <v>0</v>
      </c>
      <c r="K126">
        <f t="shared" si="1"/>
        <v>1</v>
      </c>
    </row>
    <row r="127" spans="1:11" x14ac:dyDescent="0.35">
      <c r="A127" s="1">
        <v>126</v>
      </c>
      <c r="B127" s="1">
        <v>29</v>
      </c>
      <c r="C127" s="1" t="s">
        <v>10</v>
      </c>
      <c r="D127" s="1">
        <v>27</v>
      </c>
      <c r="E127" s="1">
        <v>40962.76</v>
      </c>
      <c r="F127" s="1">
        <v>4</v>
      </c>
      <c r="G127" s="1">
        <v>1</v>
      </c>
      <c r="H127" s="1">
        <v>1</v>
      </c>
      <c r="I127" s="1">
        <v>102985.58</v>
      </c>
      <c r="J127" s="1">
        <v>0</v>
      </c>
      <c r="K127">
        <f t="shared" si="1"/>
        <v>1</v>
      </c>
    </row>
    <row r="128" spans="1:11" x14ac:dyDescent="0.35">
      <c r="A128" s="1">
        <v>127</v>
      </c>
      <c r="B128" s="1">
        <v>51</v>
      </c>
      <c r="C128" s="1" t="s">
        <v>11</v>
      </c>
      <c r="D128" s="1">
        <v>46</v>
      </c>
      <c r="E128" s="1">
        <v>43991.1</v>
      </c>
      <c r="F128" s="1">
        <v>1</v>
      </c>
      <c r="G128" s="1">
        <v>0</v>
      </c>
      <c r="H128" s="1">
        <v>0</v>
      </c>
      <c r="I128" s="1">
        <v>59928.93</v>
      </c>
      <c r="J128" s="1">
        <v>0</v>
      </c>
      <c r="K128">
        <f t="shared" si="1"/>
        <v>1</v>
      </c>
    </row>
    <row r="129" spans="1:11" x14ac:dyDescent="0.35">
      <c r="A129" s="1">
        <v>128</v>
      </c>
      <c r="B129" s="1">
        <v>50</v>
      </c>
      <c r="C129" s="1" t="s">
        <v>10</v>
      </c>
      <c r="D129" s="1">
        <v>50</v>
      </c>
      <c r="E129" s="1">
        <v>26271.75</v>
      </c>
      <c r="F129" s="1">
        <v>1</v>
      </c>
      <c r="G129" s="1">
        <v>0</v>
      </c>
      <c r="H129" s="1">
        <v>1</v>
      </c>
      <c r="I129" s="1">
        <v>131758.35</v>
      </c>
      <c r="J129" s="1">
        <v>0</v>
      </c>
      <c r="K129">
        <f t="shared" si="1"/>
        <v>1</v>
      </c>
    </row>
    <row r="130" spans="1:11" x14ac:dyDescent="0.35">
      <c r="A130" s="1">
        <v>129</v>
      </c>
      <c r="B130" s="1">
        <v>65</v>
      </c>
      <c r="C130" s="1" t="s">
        <v>10</v>
      </c>
      <c r="D130" s="1">
        <v>71</v>
      </c>
      <c r="E130" s="1">
        <v>12217</v>
      </c>
      <c r="F130" s="1">
        <v>1</v>
      </c>
      <c r="G130" s="1">
        <v>1</v>
      </c>
      <c r="H130" s="1">
        <v>0</v>
      </c>
      <c r="I130" s="1">
        <v>144731.38</v>
      </c>
      <c r="J130" s="1">
        <v>0</v>
      </c>
      <c r="K130">
        <f t="shared" si="1"/>
        <v>1</v>
      </c>
    </row>
    <row r="131" spans="1:11" x14ac:dyDescent="0.35">
      <c r="A131" s="1">
        <v>130</v>
      </c>
      <c r="B131" s="1">
        <v>40</v>
      </c>
      <c r="C131" s="1" t="s">
        <v>10</v>
      </c>
      <c r="D131" s="1">
        <v>3</v>
      </c>
      <c r="E131" s="1">
        <v>5647.16</v>
      </c>
      <c r="F131" s="1">
        <v>4</v>
      </c>
      <c r="G131" s="1">
        <v>1</v>
      </c>
      <c r="H131" s="1">
        <v>1</v>
      </c>
      <c r="I131" s="1">
        <v>48302.63</v>
      </c>
      <c r="J131" s="1">
        <v>0</v>
      </c>
      <c r="K131">
        <f t="shared" ref="K131:K194" si="2">COUNTIF($A$2:$A$1001,A131)</f>
        <v>1</v>
      </c>
    </row>
    <row r="132" spans="1:11" x14ac:dyDescent="0.35">
      <c r="A132" s="1">
        <v>131</v>
      </c>
      <c r="B132" s="1">
        <v>41</v>
      </c>
      <c r="C132" s="1" t="s">
        <v>10</v>
      </c>
      <c r="D132" s="1">
        <v>64</v>
      </c>
      <c r="E132" s="1">
        <v>4358.97</v>
      </c>
      <c r="F132" s="1">
        <v>3</v>
      </c>
      <c r="G132" s="1">
        <v>1</v>
      </c>
      <c r="H132" s="1">
        <v>1</v>
      </c>
      <c r="I132" s="1">
        <v>31459.78</v>
      </c>
      <c r="J132" s="1">
        <v>0</v>
      </c>
      <c r="K132">
        <f t="shared" si="2"/>
        <v>1</v>
      </c>
    </row>
    <row r="133" spans="1:11" x14ac:dyDescent="0.35">
      <c r="A133" s="1">
        <v>132</v>
      </c>
      <c r="B133" s="1">
        <v>54</v>
      </c>
      <c r="C133" s="1" t="s">
        <v>11</v>
      </c>
      <c r="D133" s="1">
        <v>44</v>
      </c>
      <c r="E133" s="1">
        <v>35953.870000000003</v>
      </c>
      <c r="F133" s="1">
        <v>1</v>
      </c>
      <c r="G133" s="1">
        <v>0</v>
      </c>
      <c r="H133" s="1">
        <v>0</v>
      </c>
      <c r="I133" s="1">
        <v>45289.55</v>
      </c>
      <c r="J133" s="1">
        <v>0</v>
      </c>
      <c r="K133">
        <f t="shared" si="2"/>
        <v>1</v>
      </c>
    </row>
    <row r="134" spans="1:11" x14ac:dyDescent="0.35">
      <c r="A134" s="1">
        <v>133</v>
      </c>
      <c r="B134" s="1">
        <v>52</v>
      </c>
      <c r="C134" s="1" t="s">
        <v>11</v>
      </c>
      <c r="D134" s="1">
        <v>53</v>
      </c>
      <c r="E134" s="1">
        <v>21005.94</v>
      </c>
      <c r="F134" s="1">
        <v>1</v>
      </c>
      <c r="G134" s="1">
        <v>0</v>
      </c>
      <c r="H134" s="1">
        <v>0</v>
      </c>
      <c r="I134" s="1">
        <v>126671.78</v>
      </c>
      <c r="J134" s="1">
        <v>0</v>
      </c>
      <c r="K134">
        <f t="shared" si="2"/>
        <v>1</v>
      </c>
    </row>
    <row r="135" spans="1:11" x14ac:dyDescent="0.35">
      <c r="A135" s="1">
        <v>134</v>
      </c>
      <c r="B135" s="1">
        <v>61</v>
      </c>
      <c r="C135" s="1" t="s">
        <v>11</v>
      </c>
      <c r="D135" s="1">
        <v>24</v>
      </c>
      <c r="E135" s="1">
        <v>45267.99</v>
      </c>
      <c r="F135" s="1">
        <v>4</v>
      </c>
      <c r="G135" s="1">
        <v>0</v>
      </c>
      <c r="H135" s="1">
        <v>0</v>
      </c>
      <c r="I135" s="1">
        <v>107963.8</v>
      </c>
      <c r="J135" s="1">
        <v>0</v>
      </c>
      <c r="K135">
        <f t="shared" si="2"/>
        <v>1</v>
      </c>
    </row>
    <row r="136" spans="1:11" x14ac:dyDescent="0.35">
      <c r="A136" s="1">
        <v>135</v>
      </c>
      <c r="B136" s="1">
        <v>57</v>
      </c>
      <c r="C136" s="1" t="s">
        <v>11</v>
      </c>
      <c r="D136" s="1">
        <v>60</v>
      </c>
      <c r="E136" s="1">
        <v>36983.57</v>
      </c>
      <c r="F136" s="1">
        <v>3</v>
      </c>
      <c r="G136" s="1">
        <v>0</v>
      </c>
      <c r="H136" s="1">
        <v>1</v>
      </c>
      <c r="I136" s="1">
        <v>102686.15</v>
      </c>
      <c r="J136" s="1">
        <v>0</v>
      </c>
      <c r="K136">
        <f t="shared" si="2"/>
        <v>1</v>
      </c>
    </row>
    <row r="137" spans="1:11" x14ac:dyDescent="0.35">
      <c r="A137" s="1">
        <v>136</v>
      </c>
      <c r="B137" s="1">
        <v>39</v>
      </c>
      <c r="C137" s="1" t="s">
        <v>10</v>
      </c>
      <c r="D137" s="1">
        <v>3</v>
      </c>
      <c r="E137" s="1">
        <v>9563.02</v>
      </c>
      <c r="F137" s="1">
        <v>1</v>
      </c>
      <c r="G137" s="1">
        <v>0</v>
      </c>
      <c r="H137" s="1">
        <v>1</v>
      </c>
      <c r="I137" s="1">
        <v>72233.11</v>
      </c>
      <c r="J137" s="1">
        <v>0</v>
      </c>
      <c r="K137">
        <f t="shared" si="2"/>
        <v>1</v>
      </c>
    </row>
    <row r="138" spans="1:11" x14ac:dyDescent="0.35">
      <c r="A138" s="1">
        <v>137</v>
      </c>
      <c r="B138" s="1">
        <v>44</v>
      </c>
      <c r="C138" s="1" t="s">
        <v>10</v>
      </c>
      <c r="D138" s="1">
        <v>20</v>
      </c>
      <c r="E138" s="1">
        <v>30688.87</v>
      </c>
      <c r="F138" s="1">
        <v>2</v>
      </c>
      <c r="G138" s="1">
        <v>1</v>
      </c>
      <c r="H138" s="1">
        <v>1</v>
      </c>
      <c r="I138" s="1">
        <v>95117.64</v>
      </c>
      <c r="J138" s="1">
        <v>0</v>
      </c>
      <c r="K138">
        <f t="shared" si="2"/>
        <v>1</v>
      </c>
    </row>
    <row r="139" spans="1:11" x14ac:dyDescent="0.35">
      <c r="A139" s="1">
        <v>138</v>
      </c>
      <c r="B139" s="1">
        <v>52</v>
      </c>
      <c r="C139" s="1" t="s">
        <v>11</v>
      </c>
      <c r="D139" s="1">
        <v>46</v>
      </c>
      <c r="E139" s="1">
        <v>21775.27</v>
      </c>
      <c r="F139" s="1">
        <v>4</v>
      </c>
      <c r="G139" s="1">
        <v>0</v>
      </c>
      <c r="H139" s="1">
        <v>1</v>
      </c>
      <c r="I139" s="1">
        <v>60023.64</v>
      </c>
      <c r="J139" s="1">
        <v>0</v>
      </c>
      <c r="K139">
        <f t="shared" si="2"/>
        <v>1</v>
      </c>
    </row>
    <row r="140" spans="1:11" x14ac:dyDescent="0.35">
      <c r="A140" s="1">
        <v>139</v>
      </c>
      <c r="B140" s="1">
        <v>18</v>
      </c>
      <c r="C140" s="1" t="s">
        <v>11</v>
      </c>
      <c r="D140" s="1">
        <v>15</v>
      </c>
      <c r="E140" s="1">
        <v>28862.49</v>
      </c>
      <c r="F140" s="1">
        <v>1</v>
      </c>
      <c r="G140" s="1">
        <v>0</v>
      </c>
      <c r="H140" s="1">
        <v>0</v>
      </c>
      <c r="I140" s="1">
        <v>82036.009999999995</v>
      </c>
      <c r="J140" s="1">
        <v>0</v>
      </c>
      <c r="K140">
        <f t="shared" si="2"/>
        <v>1</v>
      </c>
    </row>
    <row r="141" spans="1:11" x14ac:dyDescent="0.35">
      <c r="A141" s="1">
        <v>140</v>
      </c>
      <c r="B141" s="1">
        <v>52</v>
      </c>
      <c r="C141" s="1" t="s">
        <v>11</v>
      </c>
      <c r="D141" s="1">
        <v>25</v>
      </c>
      <c r="E141" s="1">
        <v>36903.46</v>
      </c>
      <c r="F141" s="1">
        <v>1</v>
      </c>
      <c r="G141" s="1">
        <v>0</v>
      </c>
      <c r="H141" s="1">
        <v>1</v>
      </c>
      <c r="I141" s="1">
        <v>123098.19</v>
      </c>
      <c r="J141" s="1">
        <v>0</v>
      </c>
      <c r="K141">
        <f t="shared" si="2"/>
        <v>1</v>
      </c>
    </row>
    <row r="142" spans="1:11" x14ac:dyDescent="0.35">
      <c r="A142" s="1">
        <v>141</v>
      </c>
      <c r="B142" s="1">
        <v>54</v>
      </c>
      <c r="C142" s="1" t="s">
        <v>10</v>
      </c>
      <c r="D142" s="1">
        <v>71</v>
      </c>
      <c r="E142" s="1">
        <v>40309.79</v>
      </c>
      <c r="F142" s="1">
        <v>2</v>
      </c>
      <c r="G142" s="1">
        <v>1</v>
      </c>
      <c r="H142" s="1">
        <v>1</v>
      </c>
      <c r="I142" s="1">
        <v>147561.41</v>
      </c>
      <c r="J142" s="1">
        <v>0</v>
      </c>
      <c r="K142">
        <f t="shared" si="2"/>
        <v>1</v>
      </c>
    </row>
    <row r="143" spans="1:11" x14ac:dyDescent="0.35">
      <c r="A143" s="1">
        <v>142</v>
      </c>
      <c r="B143" s="1">
        <v>64</v>
      </c>
      <c r="C143" s="1" t="s">
        <v>11</v>
      </c>
      <c r="D143" s="1">
        <v>17</v>
      </c>
      <c r="E143" s="1">
        <v>42186.87</v>
      </c>
      <c r="F143" s="1">
        <v>2</v>
      </c>
      <c r="G143" s="1">
        <v>1</v>
      </c>
      <c r="H143" s="1">
        <v>1</v>
      </c>
      <c r="I143" s="1">
        <v>141223.56</v>
      </c>
      <c r="J143" s="1">
        <v>0</v>
      </c>
      <c r="K143">
        <f t="shared" si="2"/>
        <v>1</v>
      </c>
    </row>
    <row r="144" spans="1:11" x14ac:dyDescent="0.35">
      <c r="A144" s="1">
        <v>143</v>
      </c>
      <c r="B144" s="1">
        <v>31</v>
      </c>
      <c r="C144" s="1" t="s">
        <v>11</v>
      </c>
      <c r="D144" s="1">
        <v>9</v>
      </c>
      <c r="E144" s="1">
        <v>12698.74</v>
      </c>
      <c r="F144" s="1">
        <v>4</v>
      </c>
      <c r="G144" s="1">
        <v>1</v>
      </c>
      <c r="H144" s="1">
        <v>0</v>
      </c>
      <c r="I144" s="1">
        <v>141402.57</v>
      </c>
      <c r="J144" s="1">
        <v>0</v>
      </c>
      <c r="K144">
        <f t="shared" si="2"/>
        <v>1</v>
      </c>
    </row>
    <row r="145" spans="1:11" x14ac:dyDescent="0.35">
      <c r="A145" s="1">
        <v>144</v>
      </c>
      <c r="B145" s="1">
        <v>20</v>
      </c>
      <c r="C145" s="1" t="s">
        <v>11</v>
      </c>
      <c r="D145" s="1">
        <v>38</v>
      </c>
      <c r="E145" s="1">
        <v>1555.78</v>
      </c>
      <c r="F145" s="1">
        <v>4</v>
      </c>
      <c r="G145" s="1">
        <v>0</v>
      </c>
      <c r="H145" s="1">
        <v>1</v>
      </c>
      <c r="I145" s="1">
        <v>72289.09</v>
      </c>
      <c r="J145" s="1">
        <v>0</v>
      </c>
      <c r="K145">
        <f t="shared" si="2"/>
        <v>1</v>
      </c>
    </row>
    <row r="146" spans="1:11" x14ac:dyDescent="0.35">
      <c r="A146" s="1">
        <v>145</v>
      </c>
      <c r="B146" s="1">
        <v>18</v>
      </c>
      <c r="C146" s="1" t="s">
        <v>10</v>
      </c>
      <c r="D146" s="1">
        <v>48</v>
      </c>
      <c r="E146" s="1">
        <v>36964.74</v>
      </c>
      <c r="F146" s="1">
        <v>2</v>
      </c>
      <c r="G146" s="1">
        <v>1</v>
      </c>
      <c r="H146" s="1">
        <v>1</v>
      </c>
      <c r="I146" s="1">
        <v>80942.679999999993</v>
      </c>
      <c r="J146" s="1">
        <v>0</v>
      </c>
      <c r="K146">
        <f t="shared" si="2"/>
        <v>1</v>
      </c>
    </row>
    <row r="147" spans="1:11" x14ac:dyDescent="0.35">
      <c r="A147" s="1">
        <v>146</v>
      </c>
      <c r="B147" s="1">
        <v>22</v>
      </c>
      <c r="C147" s="1" t="s">
        <v>10</v>
      </c>
      <c r="D147" s="1">
        <v>60</v>
      </c>
      <c r="E147" s="1">
        <v>5317.19</v>
      </c>
      <c r="F147" s="1">
        <v>4</v>
      </c>
      <c r="G147" s="1">
        <v>1</v>
      </c>
      <c r="H147" s="1">
        <v>0</v>
      </c>
      <c r="I147" s="1">
        <v>111732.6</v>
      </c>
      <c r="J147" s="1">
        <v>0</v>
      </c>
      <c r="K147">
        <f t="shared" si="2"/>
        <v>1</v>
      </c>
    </row>
    <row r="148" spans="1:11" x14ac:dyDescent="0.35">
      <c r="A148" s="1">
        <v>147</v>
      </c>
      <c r="B148" s="1">
        <v>43</v>
      </c>
      <c r="C148" s="1" t="s">
        <v>10</v>
      </c>
      <c r="D148" s="1">
        <v>63</v>
      </c>
      <c r="E148" s="1">
        <v>15745.98</v>
      </c>
      <c r="F148" s="1">
        <v>2</v>
      </c>
      <c r="G148" s="1">
        <v>1</v>
      </c>
      <c r="H148" s="1">
        <v>1</v>
      </c>
      <c r="I148" s="1">
        <v>139884.95000000001</v>
      </c>
      <c r="J148" s="1">
        <v>0</v>
      </c>
      <c r="K148">
        <f t="shared" si="2"/>
        <v>1</v>
      </c>
    </row>
    <row r="149" spans="1:11" x14ac:dyDescent="0.35">
      <c r="A149" s="1">
        <v>148</v>
      </c>
      <c r="B149" s="1">
        <v>31</v>
      </c>
      <c r="C149" s="1" t="s">
        <v>10</v>
      </c>
      <c r="D149" s="1">
        <v>2</v>
      </c>
      <c r="E149" s="1">
        <v>190.86</v>
      </c>
      <c r="F149" s="1">
        <v>1</v>
      </c>
      <c r="G149" s="1">
        <v>0</v>
      </c>
      <c r="H149" s="1">
        <v>1</v>
      </c>
      <c r="I149" s="1">
        <v>38459.25</v>
      </c>
      <c r="J149" s="1">
        <v>0</v>
      </c>
      <c r="K149">
        <f t="shared" si="2"/>
        <v>1</v>
      </c>
    </row>
    <row r="150" spans="1:11" x14ac:dyDescent="0.35">
      <c r="A150" s="1">
        <v>149</v>
      </c>
      <c r="B150" s="1">
        <v>56</v>
      </c>
      <c r="C150" s="1" t="s">
        <v>10</v>
      </c>
      <c r="D150" s="1">
        <v>11</v>
      </c>
      <c r="E150" s="1">
        <v>34083.47</v>
      </c>
      <c r="F150" s="1">
        <v>2</v>
      </c>
      <c r="G150" s="1">
        <v>1</v>
      </c>
      <c r="H150" s="1">
        <v>0</v>
      </c>
      <c r="I150" s="1">
        <v>59551.44</v>
      </c>
      <c r="J150" s="1">
        <v>0</v>
      </c>
      <c r="K150">
        <f t="shared" si="2"/>
        <v>1</v>
      </c>
    </row>
    <row r="151" spans="1:11" x14ac:dyDescent="0.35">
      <c r="A151" s="1">
        <v>150</v>
      </c>
      <c r="B151" s="1">
        <v>44</v>
      </c>
      <c r="C151" s="1" t="s">
        <v>10</v>
      </c>
      <c r="D151" s="1">
        <v>64</v>
      </c>
      <c r="E151" s="1">
        <v>8356.6</v>
      </c>
      <c r="F151" s="1">
        <v>2</v>
      </c>
      <c r="G151" s="1">
        <v>0</v>
      </c>
      <c r="H151" s="1">
        <v>1</v>
      </c>
      <c r="I151" s="1">
        <v>38102.089999999997</v>
      </c>
      <c r="J151" s="1">
        <v>0</v>
      </c>
      <c r="K151">
        <f t="shared" si="2"/>
        <v>1</v>
      </c>
    </row>
    <row r="152" spans="1:11" x14ac:dyDescent="0.35">
      <c r="A152" s="1">
        <v>151</v>
      </c>
      <c r="B152" s="1">
        <v>26</v>
      </c>
      <c r="C152" s="1" t="s">
        <v>10</v>
      </c>
      <c r="D152" s="1">
        <v>21</v>
      </c>
      <c r="E152" s="1">
        <v>32764.12</v>
      </c>
      <c r="F152" s="1">
        <v>3</v>
      </c>
      <c r="G152" s="1">
        <v>0</v>
      </c>
      <c r="H152" s="1">
        <v>1</v>
      </c>
      <c r="I152" s="1">
        <v>99561.11</v>
      </c>
      <c r="J152" s="1">
        <v>0</v>
      </c>
      <c r="K152">
        <f t="shared" si="2"/>
        <v>1</v>
      </c>
    </row>
    <row r="153" spans="1:11" x14ac:dyDescent="0.35">
      <c r="A153" s="1">
        <v>152</v>
      </c>
      <c r="B153" s="1">
        <v>32</v>
      </c>
      <c r="C153" s="1" t="s">
        <v>10</v>
      </c>
      <c r="D153" s="1">
        <v>18</v>
      </c>
      <c r="E153" s="1">
        <v>49587.13</v>
      </c>
      <c r="F153" s="1">
        <v>2</v>
      </c>
      <c r="G153" s="1">
        <v>1</v>
      </c>
      <c r="H153" s="1">
        <v>1</v>
      </c>
      <c r="I153" s="1">
        <v>59819.13</v>
      </c>
      <c r="J153" s="1">
        <v>0</v>
      </c>
      <c r="K153">
        <f t="shared" si="2"/>
        <v>1</v>
      </c>
    </row>
    <row r="154" spans="1:11" x14ac:dyDescent="0.35">
      <c r="A154" s="1">
        <v>153</v>
      </c>
      <c r="B154" s="1">
        <v>32</v>
      </c>
      <c r="C154" s="1" t="s">
        <v>11</v>
      </c>
      <c r="D154" s="1">
        <v>64</v>
      </c>
      <c r="E154" s="1">
        <v>3633.54</v>
      </c>
      <c r="F154" s="1">
        <v>2</v>
      </c>
      <c r="G154" s="1">
        <v>0</v>
      </c>
      <c r="H154" s="1">
        <v>0</v>
      </c>
      <c r="I154" s="1">
        <v>62394.02</v>
      </c>
      <c r="J154" s="1">
        <v>0</v>
      </c>
      <c r="K154">
        <f t="shared" si="2"/>
        <v>1</v>
      </c>
    </row>
    <row r="155" spans="1:11" x14ac:dyDescent="0.35">
      <c r="A155" s="1">
        <v>154</v>
      </c>
      <c r="B155" s="1">
        <v>43</v>
      </c>
      <c r="C155" s="1" t="s">
        <v>11</v>
      </c>
      <c r="D155" s="1">
        <v>38</v>
      </c>
      <c r="E155" s="1">
        <v>3853.9</v>
      </c>
      <c r="F155" s="1">
        <v>3</v>
      </c>
      <c r="G155" s="1">
        <v>1</v>
      </c>
      <c r="H155" s="1">
        <v>1</v>
      </c>
      <c r="I155" s="1">
        <v>29219.07</v>
      </c>
      <c r="J155" s="1">
        <v>0</v>
      </c>
      <c r="K155">
        <f t="shared" si="2"/>
        <v>1</v>
      </c>
    </row>
    <row r="156" spans="1:11" x14ac:dyDescent="0.35">
      <c r="A156" s="1">
        <v>155</v>
      </c>
      <c r="B156" s="1">
        <v>59</v>
      </c>
      <c r="C156" s="1" t="s">
        <v>10</v>
      </c>
      <c r="D156" s="1">
        <v>32</v>
      </c>
      <c r="E156" s="1">
        <v>17019</v>
      </c>
      <c r="F156" s="1">
        <v>4</v>
      </c>
      <c r="G156" s="1">
        <v>0</v>
      </c>
      <c r="H156" s="1">
        <v>1</v>
      </c>
      <c r="I156" s="1">
        <v>65473.49</v>
      </c>
      <c r="J156" s="1">
        <v>0</v>
      </c>
      <c r="K156">
        <f t="shared" si="2"/>
        <v>1</v>
      </c>
    </row>
    <row r="157" spans="1:11" x14ac:dyDescent="0.35">
      <c r="A157" s="1">
        <v>156</v>
      </c>
      <c r="B157" s="1">
        <v>30</v>
      </c>
      <c r="C157" s="1" t="s">
        <v>10</v>
      </c>
      <c r="D157" s="1">
        <v>11</v>
      </c>
      <c r="E157" s="1">
        <v>43319.33</v>
      </c>
      <c r="F157" s="1">
        <v>3</v>
      </c>
      <c r="G157" s="1">
        <v>1</v>
      </c>
      <c r="H157" s="1">
        <v>0</v>
      </c>
      <c r="I157" s="1">
        <v>132124.54999999999</v>
      </c>
      <c r="J157" s="1">
        <v>0</v>
      </c>
      <c r="K157">
        <f t="shared" si="2"/>
        <v>1</v>
      </c>
    </row>
    <row r="158" spans="1:11" x14ac:dyDescent="0.35">
      <c r="A158" s="1">
        <v>157</v>
      </c>
      <c r="B158" s="1">
        <v>68</v>
      </c>
      <c r="C158" s="1" t="s">
        <v>11</v>
      </c>
      <c r="D158" s="1">
        <v>45</v>
      </c>
      <c r="E158" s="1">
        <v>10776.49</v>
      </c>
      <c r="F158" s="1">
        <v>1</v>
      </c>
      <c r="G158" s="1">
        <v>1</v>
      </c>
      <c r="H158" s="1">
        <v>0</v>
      </c>
      <c r="I158" s="1">
        <v>50299.47</v>
      </c>
      <c r="J158" s="1">
        <v>0</v>
      </c>
      <c r="K158">
        <f t="shared" si="2"/>
        <v>1</v>
      </c>
    </row>
    <row r="159" spans="1:11" x14ac:dyDescent="0.35">
      <c r="A159" s="1">
        <v>158</v>
      </c>
      <c r="B159" s="1">
        <v>49</v>
      </c>
      <c r="C159" s="1" t="s">
        <v>10</v>
      </c>
      <c r="D159" s="1">
        <v>33</v>
      </c>
      <c r="E159" s="1">
        <v>18018.89</v>
      </c>
      <c r="F159" s="1">
        <v>3</v>
      </c>
      <c r="G159" s="1">
        <v>1</v>
      </c>
      <c r="H159" s="1">
        <v>1</v>
      </c>
      <c r="I159" s="1">
        <v>110374.37</v>
      </c>
      <c r="J159" s="1">
        <v>0</v>
      </c>
      <c r="K159">
        <f t="shared" si="2"/>
        <v>1</v>
      </c>
    </row>
    <row r="160" spans="1:11" x14ac:dyDescent="0.35">
      <c r="A160" s="1">
        <v>159</v>
      </c>
      <c r="B160" s="1">
        <v>56</v>
      </c>
      <c r="C160" s="1" t="s">
        <v>10</v>
      </c>
      <c r="D160" s="1">
        <v>41</v>
      </c>
      <c r="E160" s="1">
        <v>3425.27</v>
      </c>
      <c r="F160" s="1">
        <v>1</v>
      </c>
      <c r="G160" s="1">
        <v>0</v>
      </c>
      <c r="H160" s="1">
        <v>1</v>
      </c>
      <c r="I160" s="1">
        <v>101851.68</v>
      </c>
      <c r="J160" s="1">
        <v>0</v>
      </c>
      <c r="K160">
        <f t="shared" si="2"/>
        <v>1</v>
      </c>
    </row>
    <row r="161" spans="1:11" x14ac:dyDescent="0.35">
      <c r="A161" s="1">
        <v>160</v>
      </c>
      <c r="B161" s="1">
        <v>66</v>
      </c>
      <c r="C161" s="1" t="s">
        <v>10</v>
      </c>
      <c r="D161" s="1">
        <v>8</v>
      </c>
      <c r="E161" s="1">
        <v>38157.760000000002</v>
      </c>
      <c r="F161" s="1">
        <v>4</v>
      </c>
      <c r="G161" s="1">
        <v>1</v>
      </c>
      <c r="H161" s="1">
        <v>1</v>
      </c>
      <c r="I161" s="1">
        <v>132253</v>
      </c>
      <c r="J161" s="1">
        <v>0</v>
      </c>
      <c r="K161">
        <f t="shared" si="2"/>
        <v>1</v>
      </c>
    </row>
    <row r="162" spans="1:11" x14ac:dyDescent="0.35">
      <c r="A162" s="1">
        <v>161</v>
      </c>
      <c r="B162" s="1">
        <v>69</v>
      </c>
      <c r="C162" s="1" t="s">
        <v>11</v>
      </c>
      <c r="D162" s="1">
        <v>11</v>
      </c>
      <c r="E162" s="1">
        <v>20415.32</v>
      </c>
      <c r="F162" s="1">
        <v>3</v>
      </c>
      <c r="G162" s="1">
        <v>0</v>
      </c>
      <c r="H162" s="1">
        <v>1</v>
      </c>
      <c r="I162" s="1">
        <v>37197.43</v>
      </c>
      <c r="J162" s="1">
        <v>0</v>
      </c>
      <c r="K162">
        <f t="shared" si="2"/>
        <v>1</v>
      </c>
    </row>
    <row r="163" spans="1:11" x14ac:dyDescent="0.35">
      <c r="A163" s="1">
        <v>162</v>
      </c>
      <c r="B163" s="1">
        <v>49</v>
      </c>
      <c r="C163" s="1" t="s">
        <v>11</v>
      </c>
      <c r="D163" s="1">
        <v>51</v>
      </c>
      <c r="E163" s="1">
        <v>37962.44</v>
      </c>
      <c r="F163" s="1">
        <v>3</v>
      </c>
      <c r="G163" s="1">
        <v>1</v>
      </c>
      <c r="H163" s="1">
        <v>0</v>
      </c>
      <c r="I163" s="1">
        <v>147086.69</v>
      </c>
      <c r="J163" s="1">
        <v>0</v>
      </c>
      <c r="K163">
        <f t="shared" si="2"/>
        <v>1</v>
      </c>
    </row>
    <row r="164" spans="1:11" x14ac:dyDescent="0.35">
      <c r="A164" s="1">
        <v>163</v>
      </c>
      <c r="B164" s="1">
        <v>21</v>
      </c>
      <c r="C164" s="1" t="s">
        <v>11</v>
      </c>
      <c r="D164" s="1">
        <v>41</v>
      </c>
      <c r="E164" s="1">
        <v>45180.39</v>
      </c>
      <c r="F164" s="1">
        <v>4</v>
      </c>
      <c r="G164" s="1">
        <v>0</v>
      </c>
      <c r="H164" s="1">
        <v>1</v>
      </c>
      <c r="I164" s="1">
        <v>95741.72</v>
      </c>
      <c r="J164" s="1">
        <v>0</v>
      </c>
      <c r="K164">
        <f t="shared" si="2"/>
        <v>1</v>
      </c>
    </row>
    <row r="165" spans="1:11" x14ac:dyDescent="0.35">
      <c r="A165" s="1">
        <v>164</v>
      </c>
      <c r="B165" s="1">
        <v>47</v>
      </c>
      <c r="C165" s="1" t="s">
        <v>11</v>
      </c>
      <c r="D165" s="1">
        <v>17</v>
      </c>
      <c r="E165" s="1">
        <v>11638.16</v>
      </c>
      <c r="F165" s="1">
        <v>1</v>
      </c>
      <c r="G165" s="1">
        <v>0</v>
      </c>
      <c r="H165" s="1">
        <v>0</v>
      </c>
      <c r="I165" s="1">
        <v>149411.64000000001</v>
      </c>
      <c r="J165" s="1">
        <v>0</v>
      </c>
      <c r="K165">
        <f t="shared" si="2"/>
        <v>1</v>
      </c>
    </row>
    <row r="166" spans="1:11" x14ac:dyDescent="0.35">
      <c r="A166" s="1">
        <v>165</v>
      </c>
      <c r="B166" s="1">
        <v>54</v>
      </c>
      <c r="C166" s="1" t="s">
        <v>11</v>
      </c>
      <c r="D166" s="1">
        <v>46</v>
      </c>
      <c r="E166" s="1">
        <v>40369.800000000003</v>
      </c>
      <c r="F166" s="1">
        <v>3</v>
      </c>
      <c r="G166" s="1">
        <v>1</v>
      </c>
      <c r="H166" s="1">
        <v>0</v>
      </c>
      <c r="I166" s="1">
        <v>138496.91</v>
      </c>
      <c r="J166" s="1">
        <v>0</v>
      </c>
      <c r="K166">
        <f t="shared" si="2"/>
        <v>1</v>
      </c>
    </row>
    <row r="167" spans="1:11" x14ac:dyDescent="0.35">
      <c r="A167" s="1">
        <v>166</v>
      </c>
      <c r="B167" s="1">
        <v>40</v>
      </c>
      <c r="C167" s="1" t="s">
        <v>10</v>
      </c>
      <c r="D167" s="1">
        <v>32</v>
      </c>
      <c r="E167" s="1">
        <v>2954.69</v>
      </c>
      <c r="F167" s="1">
        <v>1</v>
      </c>
      <c r="G167" s="1">
        <v>1</v>
      </c>
      <c r="H167" s="1">
        <v>1</v>
      </c>
      <c r="I167" s="1">
        <v>48797.25</v>
      </c>
      <c r="J167" s="1">
        <v>0</v>
      </c>
      <c r="K167">
        <f t="shared" si="2"/>
        <v>1</v>
      </c>
    </row>
    <row r="168" spans="1:11" x14ac:dyDescent="0.35">
      <c r="A168" s="1">
        <v>167</v>
      </c>
      <c r="B168" s="1">
        <v>56</v>
      </c>
      <c r="C168" s="1" t="s">
        <v>11</v>
      </c>
      <c r="D168" s="1">
        <v>54</v>
      </c>
      <c r="E168" s="1">
        <v>44942.37</v>
      </c>
      <c r="F168" s="1">
        <v>3</v>
      </c>
      <c r="G168" s="1">
        <v>1</v>
      </c>
      <c r="H168" s="1">
        <v>1</v>
      </c>
      <c r="I168" s="1">
        <v>27301.06</v>
      </c>
      <c r="J168" s="1">
        <v>0</v>
      </c>
      <c r="K168">
        <f t="shared" si="2"/>
        <v>1</v>
      </c>
    </row>
    <row r="169" spans="1:11" x14ac:dyDescent="0.35">
      <c r="A169" s="1">
        <v>168</v>
      </c>
      <c r="B169" s="1">
        <v>62</v>
      </c>
      <c r="C169" s="1" t="s">
        <v>10</v>
      </c>
      <c r="D169" s="1">
        <v>20</v>
      </c>
      <c r="E169" s="1">
        <v>32538.43</v>
      </c>
      <c r="F169" s="1">
        <v>2</v>
      </c>
      <c r="G169" s="1">
        <v>1</v>
      </c>
      <c r="H169" s="1">
        <v>0</v>
      </c>
      <c r="I169" s="1">
        <v>53233.08</v>
      </c>
      <c r="J169" s="1">
        <v>0</v>
      </c>
      <c r="K169">
        <f t="shared" si="2"/>
        <v>1</v>
      </c>
    </row>
    <row r="170" spans="1:11" x14ac:dyDescent="0.35">
      <c r="A170" s="1">
        <v>169</v>
      </c>
      <c r="B170" s="1">
        <v>32</v>
      </c>
      <c r="C170" s="1" t="s">
        <v>10</v>
      </c>
      <c r="D170" s="1">
        <v>33</v>
      </c>
      <c r="E170" s="1">
        <v>43711.34</v>
      </c>
      <c r="F170" s="1">
        <v>3</v>
      </c>
      <c r="G170" s="1">
        <v>1</v>
      </c>
      <c r="H170" s="1">
        <v>0</v>
      </c>
      <c r="I170" s="1">
        <v>88583.27</v>
      </c>
      <c r="J170" s="1">
        <v>0</v>
      </c>
      <c r="K170">
        <f t="shared" si="2"/>
        <v>1</v>
      </c>
    </row>
    <row r="171" spans="1:11" x14ac:dyDescent="0.35">
      <c r="A171" s="1">
        <v>170</v>
      </c>
      <c r="B171" s="1">
        <v>60</v>
      </c>
      <c r="C171" s="1" t="s">
        <v>11</v>
      </c>
      <c r="D171" s="1">
        <v>40</v>
      </c>
      <c r="E171" s="1">
        <v>9.42</v>
      </c>
      <c r="F171" s="1">
        <v>4</v>
      </c>
      <c r="G171" s="1">
        <v>0</v>
      </c>
      <c r="H171" s="1">
        <v>1</v>
      </c>
      <c r="I171" s="1">
        <v>42307.53</v>
      </c>
      <c r="J171" s="1">
        <v>0</v>
      </c>
      <c r="K171">
        <f t="shared" si="2"/>
        <v>1</v>
      </c>
    </row>
    <row r="172" spans="1:11" x14ac:dyDescent="0.35">
      <c r="A172" s="1">
        <v>171</v>
      </c>
      <c r="B172" s="1">
        <v>46</v>
      </c>
      <c r="C172" s="1" t="s">
        <v>11</v>
      </c>
      <c r="D172" s="1">
        <v>32</v>
      </c>
      <c r="E172" s="1">
        <v>8454.0499999999993</v>
      </c>
      <c r="F172" s="1">
        <v>4</v>
      </c>
      <c r="G172" s="1">
        <v>1</v>
      </c>
      <c r="H172" s="1">
        <v>0</v>
      </c>
      <c r="I172" s="1">
        <v>41769.769999999997</v>
      </c>
      <c r="J172" s="1">
        <v>0</v>
      </c>
      <c r="K172">
        <f t="shared" si="2"/>
        <v>1</v>
      </c>
    </row>
    <row r="173" spans="1:11" x14ac:dyDescent="0.35">
      <c r="A173" s="1">
        <v>172</v>
      </c>
      <c r="B173" s="1">
        <v>53</v>
      </c>
      <c r="C173" s="1" t="s">
        <v>10</v>
      </c>
      <c r="D173" s="1">
        <v>2</v>
      </c>
      <c r="E173" s="1">
        <v>19487.97</v>
      </c>
      <c r="F173" s="1">
        <v>1</v>
      </c>
      <c r="G173" s="1">
        <v>1</v>
      </c>
      <c r="H173" s="1">
        <v>1</v>
      </c>
      <c r="I173" s="1">
        <v>80137.16</v>
      </c>
      <c r="J173" s="1">
        <v>0</v>
      </c>
      <c r="K173">
        <f t="shared" si="2"/>
        <v>1</v>
      </c>
    </row>
    <row r="174" spans="1:11" x14ac:dyDescent="0.35">
      <c r="A174" s="1">
        <v>173</v>
      </c>
      <c r="B174" s="1">
        <v>30</v>
      </c>
      <c r="C174" s="1" t="s">
        <v>10</v>
      </c>
      <c r="D174" s="1">
        <v>33</v>
      </c>
      <c r="E174" s="1">
        <v>18975.150000000001</v>
      </c>
      <c r="F174" s="1">
        <v>3</v>
      </c>
      <c r="G174" s="1">
        <v>0</v>
      </c>
      <c r="H174" s="1">
        <v>1</v>
      </c>
      <c r="I174" s="1">
        <v>24324.84</v>
      </c>
      <c r="J174" s="1">
        <v>0</v>
      </c>
      <c r="K174">
        <f t="shared" si="2"/>
        <v>1</v>
      </c>
    </row>
    <row r="175" spans="1:11" x14ac:dyDescent="0.35">
      <c r="A175" s="1">
        <v>174</v>
      </c>
      <c r="B175" s="1">
        <v>49</v>
      </c>
      <c r="C175" s="1" t="s">
        <v>10</v>
      </c>
      <c r="D175" s="1">
        <v>30</v>
      </c>
      <c r="E175" s="1">
        <v>11336.52</v>
      </c>
      <c r="F175" s="1">
        <v>1</v>
      </c>
      <c r="G175" s="1">
        <v>1</v>
      </c>
      <c r="H175" s="1">
        <v>0</v>
      </c>
      <c r="I175" s="1">
        <v>35845.449999999997</v>
      </c>
      <c r="J175" s="1">
        <v>0</v>
      </c>
      <c r="K175">
        <f t="shared" si="2"/>
        <v>1</v>
      </c>
    </row>
    <row r="176" spans="1:11" x14ac:dyDescent="0.35">
      <c r="A176" s="1">
        <v>175</v>
      </c>
      <c r="B176" s="1">
        <v>24</v>
      </c>
      <c r="C176" s="1" t="s">
        <v>11</v>
      </c>
      <c r="D176" s="1">
        <v>33</v>
      </c>
      <c r="E176" s="1">
        <v>19080.599999999999</v>
      </c>
      <c r="F176" s="1">
        <v>1</v>
      </c>
      <c r="G176" s="1">
        <v>1</v>
      </c>
      <c r="H176" s="1">
        <v>0</v>
      </c>
      <c r="I176" s="1">
        <v>74061.97</v>
      </c>
      <c r="J176" s="1">
        <v>0</v>
      </c>
      <c r="K176">
        <f t="shared" si="2"/>
        <v>1</v>
      </c>
    </row>
    <row r="177" spans="1:11" x14ac:dyDescent="0.35">
      <c r="A177" s="1">
        <v>176</v>
      </c>
      <c r="B177" s="1">
        <v>68</v>
      </c>
      <c r="C177" s="1" t="s">
        <v>11</v>
      </c>
      <c r="D177" s="1">
        <v>26</v>
      </c>
      <c r="E177" s="1">
        <v>6442.44</v>
      </c>
      <c r="F177" s="1">
        <v>2</v>
      </c>
      <c r="G177" s="1">
        <v>0</v>
      </c>
      <c r="H177" s="1">
        <v>1</v>
      </c>
      <c r="I177" s="1">
        <v>28206.89</v>
      </c>
      <c r="J177" s="1">
        <v>0</v>
      </c>
      <c r="K177">
        <f t="shared" si="2"/>
        <v>1</v>
      </c>
    </row>
    <row r="178" spans="1:11" x14ac:dyDescent="0.35">
      <c r="A178" s="1">
        <v>177</v>
      </c>
      <c r="B178" s="1">
        <v>39</v>
      </c>
      <c r="C178" s="1" t="s">
        <v>11</v>
      </c>
      <c r="D178" s="1">
        <v>22</v>
      </c>
      <c r="E178" s="1">
        <v>20638.060000000001</v>
      </c>
      <c r="F178" s="1">
        <v>2</v>
      </c>
      <c r="G178" s="1">
        <v>1</v>
      </c>
      <c r="H178" s="1">
        <v>0</v>
      </c>
      <c r="I178" s="1">
        <v>71578.16</v>
      </c>
      <c r="J178" s="1">
        <v>0</v>
      </c>
      <c r="K178">
        <f t="shared" si="2"/>
        <v>1</v>
      </c>
    </row>
    <row r="179" spans="1:11" x14ac:dyDescent="0.35">
      <c r="A179" s="1">
        <v>178</v>
      </c>
      <c r="B179" s="1">
        <v>45</v>
      </c>
      <c r="C179" s="1" t="s">
        <v>11</v>
      </c>
      <c r="D179" s="1">
        <v>66</v>
      </c>
      <c r="E179" s="1">
        <v>40117.72</v>
      </c>
      <c r="F179" s="1">
        <v>4</v>
      </c>
      <c r="G179" s="1">
        <v>1</v>
      </c>
      <c r="H179" s="1">
        <v>1</v>
      </c>
      <c r="I179" s="1">
        <v>81620.81</v>
      </c>
      <c r="J179" s="1">
        <v>0</v>
      </c>
      <c r="K179">
        <f t="shared" si="2"/>
        <v>1</v>
      </c>
    </row>
    <row r="180" spans="1:11" x14ac:dyDescent="0.35">
      <c r="A180" s="1">
        <v>179</v>
      </c>
      <c r="B180" s="1">
        <v>19</v>
      </c>
      <c r="C180" s="1" t="s">
        <v>11</v>
      </c>
      <c r="D180" s="1">
        <v>38</v>
      </c>
      <c r="E180" s="1">
        <v>23953.5</v>
      </c>
      <c r="F180" s="1">
        <v>1</v>
      </c>
      <c r="G180" s="1">
        <v>1</v>
      </c>
      <c r="H180" s="1">
        <v>1</v>
      </c>
      <c r="I180" s="1">
        <v>78664.66</v>
      </c>
      <c r="J180" s="1">
        <v>0</v>
      </c>
      <c r="K180">
        <f t="shared" si="2"/>
        <v>1</v>
      </c>
    </row>
    <row r="181" spans="1:11" x14ac:dyDescent="0.35">
      <c r="A181" s="1">
        <v>180</v>
      </c>
      <c r="B181" s="1">
        <v>59</v>
      </c>
      <c r="C181" s="1" t="s">
        <v>10</v>
      </c>
      <c r="D181" s="1">
        <v>46</v>
      </c>
      <c r="E181" s="1">
        <v>900</v>
      </c>
      <c r="F181" s="1">
        <v>4</v>
      </c>
      <c r="G181" s="1">
        <v>0</v>
      </c>
      <c r="H181" s="1">
        <v>1</v>
      </c>
      <c r="I181" s="1">
        <v>132992.73000000001</v>
      </c>
      <c r="J181" s="1">
        <v>0</v>
      </c>
      <c r="K181">
        <f t="shared" si="2"/>
        <v>1</v>
      </c>
    </row>
    <row r="182" spans="1:11" x14ac:dyDescent="0.35">
      <c r="A182" s="1">
        <v>181</v>
      </c>
      <c r="B182" s="1">
        <v>62</v>
      </c>
      <c r="C182" s="1" t="s">
        <v>11</v>
      </c>
      <c r="D182" s="1">
        <v>15</v>
      </c>
      <c r="E182" s="1">
        <v>21072.2</v>
      </c>
      <c r="F182" s="1">
        <v>3</v>
      </c>
      <c r="G182" s="1">
        <v>1</v>
      </c>
      <c r="H182" s="1">
        <v>0</v>
      </c>
      <c r="I182" s="1">
        <v>88908.12</v>
      </c>
      <c r="J182" s="1">
        <v>0</v>
      </c>
      <c r="K182">
        <f t="shared" si="2"/>
        <v>1</v>
      </c>
    </row>
    <row r="183" spans="1:11" x14ac:dyDescent="0.35">
      <c r="A183" s="1">
        <v>182</v>
      </c>
      <c r="B183" s="1">
        <v>23</v>
      </c>
      <c r="C183" s="1" t="s">
        <v>10</v>
      </c>
      <c r="D183" s="1">
        <v>44</v>
      </c>
      <c r="E183" s="1">
        <v>1358.75</v>
      </c>
      <c r="F183" s="1">
        <v>1</v>
      </c>
      <c r="G183" s="1">
        <v>0</v>
      </c>
      <c r="H183" s="1">
        <v>1</v>
      </c>
      <c r="I183" s="1">
        <v>80837.460000000006</v>
      </c>
      <c r="J183" s="1">
        <v>0</v>
      </c>
      <c r="K183">
        <f t="shared" si="2"/>
        <v>1</v>
      </c>
    </row>
    <row r="184" spans="1:11" x14ac:dyDescent="0.35">
      <c r="A184" s="1">
        <v>183</v>
      </c>
      <c r="B184" s="1">
        <v>45</v>
      </c>
      <c r="C184" s="1" t="s">
        <v>10</v>
      </c>
      <c r="D184" s="1">
        <v>49</v>
      </c>
      <c r="E184" s="1">
        <v>48312.17</v>
      </c>
      <c r="F184" s="1">
        <v>1</v>
      </c>
      <c r="G184" s="1">
        <v>1</v>
      </c>
      <c r="H184" s="1">
        <v>1</v>
      </c>
      <c r="I184" s="1">
        <v>73392.2</v>
      </c>
      <c r="J184" s="1">
        <v>0</v>
      </c>
      <c r="K184">
        <f t="shared" si="2"/>
        <v>1</v>
      </c>
    </row>
    <row r="185" spans="1:11" x14ac:dyDescent="0.35">
      <c r="A185" s="1">
        <v>184</v>
      </c>
      <c r="B185" s="1">
        <v>45</v>
      </c>
      <c r="C185" s="1" t="s">
        <v>10</v>
      </c>
      <c r="D185" s="1">
        <v>61</v>
      </c>
      <c r="E185" s="1">
        <v>6372.7</v>
      </c>
      <c r="F185" s="1">
        <v>3</v>
      </c>
      <c r="G185" s="1">
        <v>0</v>
      </c>
      <c r="H185" s="1">
        <v>1</v>
      </c>
      <c r="I185" s="1">
        <v>126291.04</v>
      </c>
      <c r="J185" s="1">
        <v>0</v>
      </c>
      <c r="K185">
        <f t="shared" si="2"/>
        <v>1</v>
      </c>
    </row>
    <row r="186" spans="1:11" x14ac:dyDescent="0.35">
      <c r="A186" s="1">
        <v>185</v>
      </c>
      <c r="B186" s="1">
        <v>61</v>
      </c>
      <c r="C186" s="1" t="s">
        <v>11</v>
      </c>
      <c r="D186" s="1">
        <v>67</v>
      </c>
      <c r="E186" s="1">
        <v>35384.42</v>
      </c>
      <c r="F186" s="1">
        <v>3</v>
      </c>
      <c r="G186" s="1">
        <v>1</v>
      </c>
      <c r="H186" s="1">
        <v>1</v>
      </c>
      <c r="I186" s="1">
        <v>136357.35999999999</v>
      </c>
      <c r="J186" s="1">
        <v>0</v>
      </c>
      <c r="K186">
        <f t="shared" si="2"/>
        <v>1</v>
      </c>
    </row>
    <row r="187" spans="1:11" x14ac:dyDescent="0.35">
      <c r="A187" s="1">
        <v>186</v>
      </c>
      <c r="B187" s="1">
        <v>61</v>
      </c>
      <c r="C187" s="1" t="s">
        <v>11</v>
      </c>
      <c r="D187" s="1">
        <v>6</v>
      </c>
      <c r="E187" s="1">
        <v>48638.82</v>
      </c>
      <c r="F187" s="1">
        <v>4</v>
      </c>
      <c r="G187" s="1">
        <v>0</v>
      </c>
      <c r="H187" s="1">
        <v>1</v>
      </c>
      <c r="I187" s="1">
        <v>130921.52</v>
      </c>
      <c r="J187" s="1">
        <v>0</v>
      </c>
      <c r="K187">
        <f t="shared" si="2"/>
        <v>1</v>
      </c>
    </row>
    <row r="188" spans="1:11" x14ac:dyDescent="0.35">
      <c r="A188" s="1">
        <v>187</v>
      </c>
      <c r="B188" s="1">
        <v>37</v>
      </c>
      <c r="C188" s="1" t="s">
        <v>11</v>
      </c>
      <c r="D188" s="1">
        <v>9</v>
      </c>
      <c r="E188" s="1">
        <v>41301.949999999997</v>
      </c>
      <c r="F188" s="1">
        <v>4</v>
      </c>
      <c r="G188" s="1">
        <v>0</v>
      </c>
      <c r="H188" s="1">
        <v>1</v>
      </c>
      <c r="I188" s="1">
        <v>107561.06</v>
      </c>
      <c r="J188" s="1">
        <v>0</v>
      </c>
      <c r="K188">
        <f t="shared" si="2"/>
        <v>1</v>
      </c>
    </row>
    <row r="189" spans="1:11" x14ac:dyDescent="0.35">
      <c r="A189" s="1">
        <v>188</v>
      </c>
      <c r="B189" s="1">
        <v>47</v>
      </c>
      <c r="C189" s="1" t="s">
        <v>10</v>
      </c>
      <c r="D189" s="1">
        <v>6</v>
      </c>
      <c r="E189" s="1">
        <v>34965.769999999997</v>
      </c>
      <c r="F189" s="1">
        <v>3</v>
      </c>
      <c r="G189" s="1">
        <v>0</v>
      </c>
      <c r="H189" s="1">
        <v>1</v>
      </c>
      <c r="I189" s="1">
        <v>37857.03</v>
      </c>
      <c r="J189" s="1">
        <v>0</v>
      </c>
      <c r="K189">
        <f t="shared" si="2"/>
        <v>1</v>
      </c>
    </row>
    <row r="190" spans="1:11" x14ac:dyDescent="0.35">
      <c r="A190" s="1">
        <v>189</v>
      </c>
      <c r="B190" s="1">
        <v>28</v>
      </c>
      <c r="C190" s="1" t="s">
        <v>10</v>
      </c>
      <c r="D190" s="1">
        <v>32</v>
      </c>
      <c r="E190" s="1">
        <v>41973.05</v>
      </c>
      <c r="F190" s="1">
        <v>4</v>
      </c>
      <c r="G190" s="1">
        <v>0</v>
      </c>
      <c r="H190" s="1">
        <v>1</v>
      </c>
      <c r="I190" s="1">
        <v>55993.1</v>
      </c>
      <c r="J190" s="1">
        <v>0</v>
      </c>
      <c r="K190">
        <f t="shared" si="2"/>
        <v>1</v>
      </c>
    </row>
    <row r="191" spans="1:11" x14ac:dyDescent="0.35">
      <c r="A191" s="1">
        <v>190</v>
      </c>
      <c r="B191" s="1">
        <v>45</v>
      </c>
      <c r="C191" s="1" t="s">
        <v>10</v>
      </c>
      <c r="D191" s="1">
        <v>41</v>
      </c>
      <c r="E191" s="1">
        <v>49089.93</v>
      </c>
      <c r="F191" s="1">
        <v>3</v>
      </c>
      <c r="G191" s="1">
        <v>0</v>
      </c>
      <c r="H191" s="1">
        <v>1</v>
      </c>
      <c r="I191" s="1">
        <v>25988.2</v>
      </c>
      <c r="J191" s="1">
        <v>0</v>
      </c>
      <c r="K191">
        <f t="shared" si="2"/>
        <v>1</v>
      </c>
    </row>
    <row r="192" spans="1:11" x14ac:dyDescent="0.35">
      <c r="A192" s="1">
        <v>191</v>
      </c>
      <c r="B192" s="1">
        <v>42</v>
      </c>
      <c r="C192" s="1" t="s">
        <v>10</v>
      </c>
      <c r="D192" s="1">
        <v>8</v>
      </c>
      <c r="E192" s="1">
        <v>31067.22</v>
      </c>
      <c r="F192" s="1">
        <v>1</v>
      </c>
      <c r="G192" s="1">
        <v>0</v>
      </c>
      <c r="H192" s="1">
        <v>1</v>
      </c>
      <c r="I192" s="1">
        <v>141007.13</v>
      </c>
      <c r="J192" s="1">
        <v>0</v>
      </c>
      <c r="K192">
        <f t="shared" si="2"/>
        <v>1</v>
      </c>
    </row>
    <row r="193" spans="1:11" x14ac:dyDescent="0.35">
      <c r="A193" s="1">
        <v>192</v>
      </c>
      <c r="B193" s="1">
        <v>56</v>
      </c>
      <c r="C193" s="1" t="s">
        <v>10</v>
      </c>
      <c r="D193" s="1">
        <v>50</v>
      </c>
      <c r="E193" s="1">
        <v>27959.24</v>
      </c>
      <c r="F193" s="1">
        <v>1</v>
      </c>
      <c r="G193" s="1">
        <v>1</v>
      </c>
      <c r="H193" s="1">
        <v>1</v>
      </c>
      <c r="I193" s="1">
        <v>105903.81</v>
      </c>
      <c r="J193" s="1">
        <v>0</v>
      </c>
      <c r="K193">
        <f t="shared" si="2"/>
        <v>1</v>
      </c>
    </row>
    <row r="194" spans="1:11" x14ac:dyDescent="0.35">
      <c r="A194" s="1">
        <v>193</v>
      </c>
      <c r="B194" s="1">
        <v>50</v>
      </c>
      <c r="C194" s="1" t="s">
        <v>10</v>
      </c>
      <c r="D194" s="1">
        <v>62</v>
      </c>
      <c r="E194" s="1">
        <v>31411.91</v>
      </c>
      <c r="F194" s="1">
        <v>2</v>
      </c>
      <c r="G194" s="1">
        <v>1</v>
      </c>
      <c r="H194" s="1">
        <v>0</v>
      </c>
      <c r="I194" s="1">
        <v>117027.17</v>
      </c>
      <c r="J194" s="1">
        <v>0</v>
      </c>
      <c r="K194">
        <f t="shared" si="2"/>
        <v>1</v>
      </c>
    </row>
    <row r="195" spans="1:11" x14ac:dyDescent="0.35">
      <c r="A195" s="1">
        <v>194</v>
      </c>
      <c r="B195" s="1">
        <v>18</v>
      </c>
      <c r="C195" s="1" t="s">
        <v>11</v>
      </c>
      <c r="D195" s="1">
        <v>62</v>
      </c>
      <c r="E195" s="1">
        <v>26633.79</v>
      </c>
      <c r="F195" s="1">
        <v>1</v>
      </c>
      <c r="G195" s="1">
        <v>0</v>
      </c>
      <c r="H195" s="1">
        <v>1</v>
      </c>
      <c r="I195" s="1">
        <v>60504.33</v>
      </c>
      <c r="J195" s="1">
        <v>0</v>
      </c>
      <c r="K195">
        <f t="shared" ref="K195:K258" si="3">COUNTIF($A$2:$A$1001,A195)</f>
        <v>1</v>
      </c>
    </row>
    <row r="196" spans="1:11" x14ac:dyDescent="0.35">
      <c r="A196" s="1">
        <v>195</v>
      </c>
      <c r="B196" s="1">
        <v>44</v>
      </c>
      <c r="C196" s="1" t="s">
        <v>11</v>
      </c>
      <c r="D196" s="1">
        <v>7</v>
      </c>
      <c r="E196" s="1">
        <v>31754.46</v>
      </c>
      <c r="F196" s="1">
        <v>3</v>
      </c>
      <c r="G196" s="1">
        <v>0</v>
      </c>
      <c r="H196" s="1">
        <v>1</v>
      </c>
      <c r="I196" s="1">
        <v>129934.96</v>
      </c>
      <c r="J196" s="1">
        <v>0</v>
      </c>
      <c r="K196">
        <f t="shared" si="3"/>
        <v>1</v>
      </c>
    </row>
    <row r="197" spans="1:11" x14ac:dyDescent="0.35">
      <c r="A197" s="1">
        <v>196</v>
      </c>
      <c r="B197" s="1">
        <v>69</v>
      </c>
      <c r="C197" s="1" t="s">
        <v>11</v>
      </c>
      <c r="D197" s="1">
        <v>4</v>
      </c>
      <c r="E197" s="1">
        <v>22492.11</v>
      </c>
      <c r="F197" s="1">
        <v>4</v>
      </c>
      <c r="G197" s="1">
        <v>0</v>
      </c>
      <c r="H197" s="1">
        <v>1</v>
      </c>
      <c r="I197" s="1">
        <v>53748.43</v>
      </c>
      <c r="J197" s="1">
        <v>0</v>
      </c>
      <c r="K197">
        <f t="shared" si="3"/>
        <v>1</v>
      </c>
    </row>
    <row r="198" spans="1:11" x14ac:dyDescent="0.35">
      <c r="A198" s="1">
        <v>197</v>
      </c>
      <c r="B198" s="1">
        <v>30</v>
      </c>
      <c r="C198" s="1" t="s">
        <v>11</v>
      </c>
      <c r="D198" s="1">
        <v>6</v>
      </c>
      <c r="E198" s="1">
        <v>10922.16</v>
      </c>
      <c r="F198" s="1">
        <v>2</v>
      </c>
      <c r="G198" s="1">
        <v>0</v>
      </c>
      <c r="H198" s="1">
        <v>0</v>
      </c>
      <c r="I198" s="1">
        <v>20213.689999999999</v>
      </c>
      <c r="J198" s="1">
        <v>0</v>
      </c>
      <c r="K198">
        <f t="shared" si="3"/>
        <v>1</v>
      </c>
    </row>
    <row r="199" spans="1:11" x14ac:dyDescent="0.35">
      <c r="A199" s="1">
        <v>198</v>
      </c>
      <c r="B199" s="1">
        <v>58</v>
      </c>
      <c r="C199" s="1" t="s">
        <v>10</v>
      </c>
      <c r="D199" s="1">
        <v>58</v>
      </c>
      <c r="E199" s="1">
        <v>6012.36</v>
      </c>
      <c r="F199" s="1">
        <v>4</v>
      </c>
      <c r="G199" s="1">
        <v>1</v>
      </c>
      <c r="H199" s="1">
        <v>1</v>
      </c>
      <c r="I199" s="1">
        <v>68933.95</v>
      </c>
      <c r="J199" s="1">
        <v>0</v>
      </c>
      <c r="K199">
        <f t="shared" si="3"/>
        <v>1</v>
      </c>
    </row>
    <row r="200" spans="1:11" x14ac:dyDescent="0.35">
      <c r="A200" s="1">
        <v>199</v>
      </c>
      <c r="B200" s="1">
        <v>20</v>
      </c>
      <c r="C200" s="1" t="s">
        <v>10</v>
      </c>
      <c r="D200" s="1">
        <v>22</v>
      </c>
      <c r="E200" s="1">
        <v>3417.05</v>
      </c>
      <c r="F200" s="1">
        <v>3</v>
      </c>
      <c r="G200" s="1">
        <v>0</v>
      </c>
      <c r="H200" s="1">
        <v>0</v>
      </c>
      <c r="I200" s="1">
        <v>94198.99</v>
      </c>
      <c r="J200" s="1">
        <v>0</v>
      </c>
      <c r="K200">
        <f t="shared" si="3"/>
        <v>1</v>
      </c>
    </row>
    <row r="201" spans="1:11" x14ac:dyDescent="0.35">
      <c r="A201" s="1">
        <v>200</v>
      </c>
      <c r="B201" s="1">
        <v>56</v>
      </c>
      <c r="C201" s="1" t="s">
        <v>11</v>
      </c>
      <c r="D201" s="1">
        <v>26</v>
      </c>
      <c r="E201" s="1">
        <v>13165.79</v>
      </c>
      <c r="F201" s="1">
        <v>1</v>
      </c>
      <c r="G201" s="1">
        <v>1</v>
      </c>
      <c r="H201" s="1">
        <v>1</v>
      </c>
      <c r="I201" s="1">
        <v>82231.63</v>
      </c>
      <c r="J201" s="1">
        <v>0</v>
      </c>
      <c r="K201">
        <f t="shared" si="3"/>
        <v>1</v>
      </c>
    </row>
    <row r="202" spans="1:11" x14ac:dyDescent="0.35">
      <c r="A202" s="1">
        <v>201</v>
      </c>
      <c r="B202" s="1">
        <v>23</v>
      </c>
      <c r="C202" s="1" t="s">
        <v>10</v>
      </c>
      <c r="D202" s="1">
        <v>3</v>
      </c>
      <c r="E202" s="1">
        <v>2306.1799999999998</v>
      </c>
      <c r="F202" s="1">
        <v>2</v>
      </c>
      <c r="G202" s="1">
        <v>1</v>
      </c>
      <c r="H202" s="1">
        <v>1</v>
      </c>
      <c r="I202" s="1">
        <v>132069.9</v>
      </c>
      <c r="J202" s="1">
        <v>0</v>
      </c>
      <c r="K202">
        <f t="shared" si="3"/>
        <v>1</v>
      </c>
    </row>
    <row r="203" spans="1:11" x14ac:dyDescent="0.35">
      <c r="A203" s="1">
        <v>202</v>
      </c>
      <c r="B203" s="1">
        <v>25</v>
      </c>
      <c r="C203" s="1" t="s">
        <v>11</v>
      </c>
      <c r="D203" s="1">
        <v>41</v>
      </c>
      <c r="E203" s="1">
        <v>28358.54</v>
      </c>
      <c r="F203" s="1">
        <v>3</v>
      </c>
      <c r="G203" s="1">
        <v>0</v>
      </c>
      <c r="H203" s="1">
        <v>0</v>
      </c>
      <c r="I203" s="1">
        <v>33702.69</v>
      </c>
      <c r="J203" s="1">
        <v>0</v>
      </c>
      <c r="K203">
        <f t="shared" si="3"/>
        <v>1</v>
      </c>
    </row>
    <row r="204" spans="1:11" x14ac:dyDescent="0.35">
      <c r="A204" s="1">
        <v>203</v>
      </c>
      <c r="B204" s="1">
        <v>44</v>
      </c>
      <c r="C204" s="1" t="s">
        <v>11</v>
      </c>
      <c r="D204" s="1">
        <v>60</v>
      </c>
      <c r="E204" s="1">
        <v>14191.42</v>
      </c>
      <c r="F204" s="1">
        <v>2</v>
      </c>
      <c r="G204" s="1">
        <v>0</v>
      </c>
      <c r="H204" s="1">
        <v>1</v>
      </c>
      <c r="I204" s="1">
        <v>91997.05</v>
      </c>
      <c r="J204" s="1">
        <v>0</v>
      </c>
      <c r="K204">
        <f t="shared" si="3"/>
        <v>1</v>
      </c>
    </row>
    <row r="205" spans="1:11" x14ac:dyDescent="0.35">
      <c r="A205" s="1">
        <v>204</v>
      </c>
      <c r="B205" s="1">
        <v>26</v>
      </c>
      <c r="C205" s="1" t="s">
        <v>11</v>
      </c>
      <c r="D205" s="1">
        <v>14</v>
      </c>
      <c r="E205" s="1">
        <v>41226.74</v>
      </c>
      <c r="F205" s="1">
        <v>2</v>
      </c>
      <c r="G205" s="1">
        <v>1</v>
      </c>
      <c r="H205" s="1">
        <v>0</v>
      </c>
      <c r="I205" s="1">
        <v>86687.32</v>
      </c>
      <c r="J205" s="1">
        <v>0</v>
      </c>
      <c r="K205">
        <f t="shared" si="3"/>
        <v>1</v>
      </c>
    </row>
    <row r="206" spans="1:11" x14ac:dyDescent="0.35">
      <c r="A206" s="1">
        <v>205</v>
      </c>
      <c r="B206" s="1">
        <v>54</v>
      </c>
      <c r="C206" s="1" t="s">
        <v>10</v>
      </c>
      <c r="D206" s="1">
        <v>12</v>
      </c>
      <c r="E206" s="1">
        <v>3712.04</v>
      </c>
      <c r="F206" s="1">
        <v>1</v>
      </c>
      <c r="G206" s="1">
        <v>1</v>
      </c>
      <c r="H206" s="1">
        <v>0</v>
      </c>
      <c r="I206" s="1">
        <v>56581.09</v>
      </c>
      <c r="J206" s="1">
        <v>0</v>
      </c>
      <c r="K206">
        <f t="shared" si="3"/>
        <v>1</v>
      </c>
    </row>
    <row r="207" spans="1:11" x14ac:dyDescent="0.35">
      <c r="A207" s="1">
        <v>206</v>
      </c>
      <c r="B207" s="1">
        <v>50</v>
      </c>
      <c r="C207" s="1" t="s">
        <v>11</v>
      </c>
      <c r="D207" s="1">
        <v>12</v>
      </c>
      <c r="E207" s="1">
        <v>11317.57</v>
      </c>
      <c r="F207" s="1">
        <v>3</v>
      </c>
      <c r="G207" s="1">
        <v>0</v>
      </c>
      <c r="H207" s="1">
        <v>1</v>
      </c>
      <c r="I207" s="1">
        <v>126889.65</v>
      </c>
      <c r="J207" s="1">
        <v>0</v>
      </c>
      <c r="K207">
        <f t="shared" si="3"/>
        <v>1</v>
      </c>
    </row>
    <row r="208" spans="1:11" x14ac:dyDescent="0.35">
      <c r="A208" s="1">
        <v>207</v>
      </c>
      <c r="B208" s="1">
        <v>68</v>
      </c>
      <c r="C208" s="1" t="s">
        <v>11</v>
      </c>
      <c r="D208" s="1">
        <v>13</v>
      </c>
      <c r="E208" s="1">
        <v>36512.31</v>
      </c>
      <c r="F208" s="1">
        <v>4</v>
      </c>
      <c r="G208" s="1">
        <v>0</v>
      </c>
      <c r="H208" s="1">
        <v>1</v>
      </c>
      <c r="I208" s="1">
        <v>117870.33</v>
      </c>
      <c r="J208" s="1">
        <v>0</v>
      </c>
      <c r="K208">
        <f t="shared" si="3"/>
        <v>1</v>
      </c>
    </row>
    <row r="209" spans="1:11" x14ac:dyDescent="0.35">
      <c r="A209" s="1">
        <v>208</v>
      </c>
      <c r="B209" s="1">
        <v>59</v>
      </c>
      <c r="C209" s="1" t="s">
        <v>11</v>
      </c>
      <c r="D209" s="1">
        <v>25</v>
      </c>
      <c r="E209" s="1">
        <v>29940.41</v>
      </c>
      <c r="F209" s="1">
        <v>2</v>
      </c>
      <c r="G209" s="1">
        <v>0</v>
      </c>
      <c r="H209" s="1">
        <v>1</v>
      </c>
      <c r="I209" s="1">
        <v>115271.69</v>
      </c>
      <c r="J209" s="1">
        <v>0</v>
      </c>
      <c r="K209">
        <f t="shared" si="3"/>
        <v>1</v>
      </c>
    </row>
    <row r="210" spans="1:11" x14ac:dyDescent="0.35">
      <c r="A210" s="1">
        <v>209</v>
      </c>
      <c r="B210" s="1">
        <v>61</v>
      </c>
      <c r="C210" s="1" t="s">
        <v>10</v>
      </c>
      <c r="D210" s="1">
        <v>45</v>
      </c>
      <c r="E210" s="1">
        <v>3224.56</v>
      </c>
      <c r="F210" s="1">
        <v>2</v>
      </c>
      <c r="G210" s="1">
        <v>1</v>
      </c>
      <c r="H210" s="1">
        <v>1</v>
      </c>
      <c r="I210" s="1">
        <v>133905.01999999999</v>
      </c>
      <c r="J210" s="1">
        <v>0</v>
      </c>
      <c r="K210">
        <f t="shared" si="3"/>
        <v>1</v>
      </c>
    </row>
    <row r="211" spans="1:11" x14ac:dyDescent="0.35">
      <c r="A211" s="1">
        <v>210</v>
      </c>
      <c r="B211" s="1">
        <v>41</v>
      </c>
      <c r="C211" s="1" t="s">
        <v>10</v>
      </c>
      <c r="D211" s="1">
        <v>19</v>
      </c>
      <c r="E211" s="1">
        <v>43861.97</v>
      </c>
      <c r="F211" s="1">
        <v>4</v>
      </c>
      <c r="G211" s="1">
        <v>1</v>
      </c>
      <c r="H211" s="1">
        <v>0</v>
      </c>
      <c r="I211" s="1">
        <v>113962</v>
      </c>
      <c r="J211" s="1">
        <v>0</v>
      </c>
      <c r="K211">
        <f t="shared" si="3"/>
        <v>1</v>
      </c>
    </row>
    <row r="212" spans="1:11" x14ac:dyDescent="0.35">
      <c r="A212" s="1">
        <v>211</v>
      </c>
      <c r="B212" s="1">
        <v>32</v>
      </c>
      <c r="C212" s="1" t="s">
        <v>11</v>
      </c>
      <c r="D212" s="1">
        <v>55</v>
      </c>
      <c r="E212" s="1">
        <v>43863.09</v>
      </c>
      <c r="F212" s="1">
        <v>3</v>
      </c>
      <c r="G212" s="1">
        <v>0</v>
      </c>
      <c r="H212" s="1">
        <v>0</v>
      </c>
      <c r="I212" s="1">
        <v>50139.37</v>
      </c>
      <c r="J212" s="1">
        <v>0</v>
      </c>
      <c r="K212">
        <f t="shared" si="3"/>
        <v>1</v>
      </c>
    </row>
    <row r="213" spans="1:11" x14ac:dyDescent="0.35">
      <c r="A213" s="1">
        <v>212</v>
      </c>
      <c r="B213" s="1">
        <v>49</v>
      </c>
      <c r="C213" s="1" t="s">
        <v>10</v>
      </c>
      <c r="D213" s="1">
        <v>45</v>
      </c>
      <c r="E213" s="1">
        <v>16520.400000000001</v>
      </c>
      <c r="F213" s="1">
        <v>2</v>
      </c>
      <c r="G213" s="1">
        <v>1</v>
      </c>
      <c r="H213" s="1">
        <v>1</v>
      </c>
      <c r="I213" s="1">
        <v>111723.15</v>
      </c>
      <c r="J213" s="1">
        <v>0</v>
      </c>
      <c r="K213">
        <f t="shared" si="3"/>
        <v>1</v>
      </c>
    </row>
    <row r="214" spans="1:11" x14ac:dyDescent="0.35">
      <c r="A214" s="1">
        <v>213</v>
      </c>
      <c r="B214" s="1">
        <v>49</v>
      </c>
      <c r="C214" s="1" t="s">
        <v>10</v>
      </c>
      <c r="D214" s="1">
        <v>8</v>
      </c>
      <c r="E214" s="1">
        <v>17020.29</v>
      </c>
      <c r="F214" s="1">
        <v>2</v>
      </c>
      <c r="G214" s="1">
        <v>1</v>
      </c>
      <c r="H214" s="1">
        <v>0</v>
      </c>
      <c r="I214" s="1">
        <v>60001.37</v>
      </c>
      <c r="J214" s="1">
        <v>0</v>
      </c>
      <c r="K214">
        <f t="shared" si="3"/>
        <v>1</v>
      </c>
    </row>
    <row r="215" spans="1:11" x14ac:dyDescent="0.35">
      <c r="A215" s="1">
        <v>214</v>
      </c>
      <c r="B215" s="1">
        <v>41</v>
      </c>
      <c r="C215" s="1" t="s">
        <v>10</v>
      </c>
      <c r="D215" s="1">
        <v>53</v>
      </c>
      <c r="E215" s="1">
        <v>49451.42</v>
      </c>
      <c r="F215" s="1">
        <v>2</v>
      </c>
      <c r="G215" s="1">
        <v>0</v>
      </c>
      <c r="H215" s="1">
        <v>0</v>
      </c>
      <c r="I215" s="1">
        <v>51482.7</v>
      </c>
      <c r="J215" s="1">
        <v>0</v>
      </c>
      <c r="K215">
        <f t="shared" si="3"/>
        <v>1</v>
      </c>
    </row>
    <row r="216" spans="1:11" x14ac:dyDescent="0.35">
      <c r="A216" s="1">
        <v>215</v>
      </c>
      <c r="B216" s="1">
        <v>58</v>
      </c>
      <c r="C216" s="1" t="s">
        <v>10</v>
      </c>
      <c r="D216" s="1">
        <v>55</v>
      </c>
      <c r="E216" s="1">
        <v>31308.81</v>
      </c>
      <c r="F216" s="1">
        <v>3</v>
      </c>
      <c r="G216" s="1">
        <v>0</v>
      </c>
      <c r="H216" s="1">
        <v>1</v>
      </c>
      <c r="I216" s="1">
        <v>29490.47</v>
      </c>
      <c r="J216" s="1">
        <v>0</v>
      </c>
      <c r="K216">
        <f t="shared" si="3"/>
        <v>1</v>
      </c>
    </row>
    <row r="217" spans="1:11" x14ac:dyDescent="0.35">
      <c r="A217" s="1">
        <v>216</v>
      </c>
      <c r="B217" s="1">
        <v>69</v>
      </c>
      <c r="C217" s="1" t="s">
        <v>10</v>
      </c>
      <c r="D217" s="1">
        <v>32</v>
      </c>
      <c r="E217" s="1">
        <v>26565.83</v>
      </c>
      <c r="F217" s="1">
        <v>3</v>
      </c>
      <c r="G217" s="1">
        <v>1</v>
      </c>
      <c r="H217" s="1">
        <v>0</v>
      </c>
      <c r="I217" s="1">
        <v>116723.72</v>
      </c>
      <c r="J217" s="1">
        <v>0</v>
      </c>
      <c r="K217">
        <f t="shared" si="3"/>
        <v>1</v>
      </c>
    </row>
    <row r="218" spans="1:11" x14ac:dyDescent="0.35">
      <c r="A218" s="1">
        <v>217</v>
      </c>
      <c r="B218" s="1">
        <v>66</v>
      </c>
      <c r="C218" s="1" t="s">
        <v>10</v>
      </c>
      <c r="D218" s="1">
        <v>51</v>
      </c>
      <c r="E218" s="1">
        <v>41907.61</v>
      </c>
      <c r="F218" s="1">
        <v>4</v>
      </c>
      <c r="G218" s="1">
        <v>1</v>
      </c>
      <c r="H218" s="1">
        <v>0</v>
      </c>
      <c r="I218" s="1">
        <v>112430.13</v>
      </c>
      <c r="J218" s="1">
        <v>0</v>
      </c>
      <c r="K218">
        <f t="shared" si="3"/>
        <v>1</v>
      </c>
    </row>
    <row r="219" spans="1:11" x14ac:dyDescent="0.35">
      <c r="A219" s="1">
        <v>218</v>
      </c>
      <c r="B219" s="1">
        <v>66</v>
      </c>
      <c r="C219" s="1" t="s">
        <v>10</v>
      </c>
      <c r="D219" s="1">
        <v>44</v>
      </c>
      <c r="E219" s="1">
        <v>14264.52</v>
      </c>
      <c r="F219" s="1">
        <v>3</v>
      </c>
      <c r="G219" s="1">
        <v>0</v>
      </c>
      <c r="H219" s="1">
        <v>1</v>
      </c>
      <c r="I219" s="1">
        <v>50484.93</v>
      </c>
      <c r="J219" s="1">
        <v>0</v>
      </c>
      <c r="K219">
        <f t="shared" si="3"/>
        <v>1</v>
      </c>
    </row>
    <row r="220" spans="1:11" x14ac:dyDescent="0.35">
      <c r="A220" s="1">
        <v>219</v>
      </c>
      <c r="B220" s="1">
        <v>69</v>
      </c>
      <c r="C220" s="1" t="s">
        <v>10</v>
      </c>
      <c r="D220" s="1">
        <v>70</v>
      </c>
      <c r="E220" s="1">
        <v>21459.13</v>
      </c>
      <c r="F220" s="1">
        <v>3</v>
      </c>
      <c r="G220" s="1">
        <v>0</v>
      </c>
      <c r="H220" s="1">
        <v>0</v>
      </c>
      <c r="I220" s="1">
        <v>117419.27</v>
      </c>
      <c r="J220" s="1">
        <v>0</v>
      </c>
      <c r="K220">
        <f t="shared" si="3"/>
        <v>1</v>
      </c>
    </row>
    <row r="221" spans="1:11" x14ac:dyDescent="0.35">
      <c r="A221" s="1">
        <v>220</v>
      </c>
      <c r="B221" s="1">
        <v>29</v>
      </c>
      <c r="C221" s="1" t="s">
        <v>10</v>
      </c>
      <c r="D221" s="1">
        <v>18</v>
      </c>
      <c r="E221" s="1">
        <v>13388.83</v>
      </c>
      <c r="F221" s="1">
        <v>1</v>
      </c>
      <c r="G221" s="1">
        <v>0</v>
      </c>
      <c r="H221" s="1">
        <v>1</v>
      </c>
      <c r="I221" s="1">
        <v>139319.31</v>
      </c>
      <c r="J221" s="1">
        <v>0</v>
      </c>
      <c r="K221">
        <f t="shared" si="3"/>
        <v>1</v>
      </c>
    </row>
    <row r="222" spans="1:11" x14ac:dyDescent="0.35">
      <c r="A222" s="1">
        <v>221</v>
      </c>
      <c r="B222" s="1">
        <v>56</v>
      </c>
      <c r="C222" s="1" t="s">
        <v>10</v>
      </c>
      <c r="D222" s="1">
        <v>22</v>
      </c>
      <c r="E222" s="1">
        <v>39458.04</v>
      </c>
      <c r="F222" s="1">
        <v>4</v>
      </c>
      <c r="G222" s="1">
        <v>0</v>
      </c>
      <c r="H222" s="1">
        <v>0</v>
      </c>
      <c r="I222" s="1">
        <v>34043.760000000002</v>
      </c>
      <c r="J222" s="1">
        <v>0</v>
      </c>
      <c r="K222">
        <f t="shared" si="3"/>
        <v>1</v>
      </c>
    </row>
    <row r="223" spans="1:11" x14ac:dyDescent="0.35">
      <c r="A223" s="1">
        <v>222</v>
      </c>
      <c r="B223" s="1">
        <v>19</v>
      </c>
      <c r="C223" s="1" t="s">
        <v>11</v>
      </c>
      <c r="D223" s="1">
        <v>37</v>
      </c>
      <c r="E223" s="1">
        <v>28667.47</v>
      </c>
      <c r="F223" s="1">
        <v>2</v>
      </c>
      <c r="G223" s="1">
        <v>0</v>
      </c>
      <c r="H223" s="1">
        <v>1</v>
      </c>
      <c r="I223" s="1">
        <v>50242.76</v>
      </c>
      <c r="J223" s="1">
        <v>0</v>
      </c>
      <c r="K223">
        <f t="shared" si="3"/>
        <v>1</v>
      </c>
    </row>
    <row r="224" spans="1:11" x14ac:dyDescent="0.35">
      <c r="A224" s="1">
        <v>223</v>
      </c>
      <c r="B224" s="1">
        <v>20</v>
      </c>
      <c r="C224" s="1" t="s">
        <v>11</v>
      </c>
      <c r="D224" s="1">
        <v>56</v>
      </c>
      <c r="E224" s="1">
        <v>32941.25</v>
      </c>
      <c r="F224" s="1">
        <v>3</v>
      </c>
      <c r="G224" s="1">
        <v>1</v>
      </c>
      <c r="H224" s="1">
        <v>0</v>
      </c>
      <c r="I224" s="1">
        <v>117533.9</v>
      </c>
      <c r="J224" s="1">
        <v>0</v>
      </c>
      <c r="K224">
        <f t="shared" si="3"/>
        <v>1</v>
      </c>
    </row>
    <row r="225" spans="1:11" x14ac:dyDescent="0.35">
      <c r="A225" s="1">
        <v>224</v>
      </c>
      <c r="B225" s="1">
        <v>66</v>
      </c>
      <c r="C225" s="1" t="s">
        <v>10</v>
      </c>
      <c r="D225" s="1">
        <v>59</v>
      </c>
      <c r="E225" s="1">
        <v>12615.36</v>
      </c>
      <c r="F225" s="1">
        <v>2</v>
      </c>
      <c r="G225" s="1">
        <v>1</v>
      </c>
      <c r="H225" s="1">
        <v>0</v>
      </c>
      <c r="I225" s="1">
        <v>55685.87</v>
      </c>
      <c r="J225" s="1">
        <v>0</v>
      </c>
      <c r="K225">
        <f t="shared" si="3"/>
        <v>1</v>
      </c>
    </row>
    <row r="226" spans="1:11" x14ac:dyDescent="0.35">
      <c r="A226" s="1">
        <v>225</v>
      </c>
      <c r="B226" s="1">
        <v>54</v>
      </c>
      <c r="C226" s="1" t="s">
        <v>11</v>
      </c>
      <c r="D226" s="1">
        <v>3</v>
      </c>
      <c r="E226" s="1">
        <v>11011.27</v>
      </c>
      <c r="F226" s="1">
        <v>2</v>
      </c>
      <c r="G226" s="1">
        <v>1</v>
      </c>
      <c r="H226" s="1">
        <v>1</v>
      </c>
      <c r="I226" s="1">
        <v>101206.32</v>
      </c>
      <c r="J226" s="1">
        <v>0</v>
      </c>
      <c r="K226">
        <f t="shared" si="3"/>
        <v>1</v>
      </c>
    </row>
    <row r="227" spans="1:11" x14ac:dyDescent="0.35">
      <c r="A227" s="1">
        <v>226</v>
      </c>
      <c r="B227" s="1">
        <v>66</v>
      </c>
      <c r="C227" s="1" t="s">
        <v>11</v>
      </c>
      <c r="D227" s="1">
        <v>28</v>
      </c>
      <c r="E227" s="1">
        <v>24418.73</v>
      </c>
      <c r="F227" s="1">
        <v>1</v>
      </c>
      <c r="G227" s="1">
        <v>1</v>
      </c>
      <c r="H227" s="1">
        <v>1</v>
      </c>
      <c r="I227" s="1">
        <v>30551.35</v>
      </c>
      <c r="J227" s="1">
        <v>0</v>
      </c>
      <c r="K227">
        <f t="shared" si="3"/>
        <v>1</v>
      </c>
    </row>
    <row r="228" spans="1:11" x14ac:dyDescent="0.35">
      <c r="A228" s="1">
        <v>227</v>
      </c>
      <c r="B228" s="1">
        <v>34</v>
      </c>
      <c r="C228" s="1" t="s">
        <v>10</v>
      </c>
      <c r="D228" s="1">
        <v>35</v>
      </c>
      <c r="E228" s="1">
        <v>36878.29</v>
      </c>
      <c r="F228" s="1">
        <v>3</v>
      </c>
      <c r="G228" s="1">
        <v>0</v>
      </c>
      <c r="H228" s="1">
        <v>1</v>
      </c>
      <c r="I228" s="1">
        <v>78786.320000000007</v>
      </c>
      <c r="J228" s="1">
        <v>0</v>
      </c>
      <c r="K228">
        <f t="shared" si="3"/>
        <v>1</v>
      </c>
    </row>
    <row r="229" spans="1:11" x14ac:dyDescent="0.35">
      <c r="A229" s="1">
        <v>228</v>
      </c>
      <c r="B229" s="1">
        <v>66</v>
      </c>
      <c r="C229" s="1" t="s">
        <v>10</v>
      </c>
      <c r="D229" s="1">
        <v>61</v>
      </c>
      <c r="E229" s="1">
        <v>26261.99</v>
      </c>
      <c r="F229" s="1">
        <v>4</v>
      </c>
      <c r="G229" s="1">
        <v>0</v>
      </c>
      <c r="H229" s="1">
        <v>1</v>
      </c>
      <c r="I229" s="1">
        <v>116081.88</v>
      </c>
      <c r="J229" s="1">
        <v>0</v>
      </c>
      <c r="K229">
        <f t="shared" si="3"/>
        <v>1</v>
      </c>
    </row>
    <row r="230" spans="1:11" x14ac:dyDescent="0.35">
      <c r="A230" s="1">
        <v>229</v>
      </c>
      <c r="B230" s="1">
        <v>19</v>
      </c>
      <c r="C230" s="1" t="s">
        <v>10</v>
      </c>
      <c r="D230" s="1">
        <v>54</v>
      </c>
      <c r="E230" s="1">
        <v>1632.28</v>
      </c>
      <c r="F230" s="1">
        <v>3</v>
      </c>
      <c r="G230" s="1">
        <v>0</v>
      </c>
      <c r="H230" s="1">
        <v>0</v>
      </c>
      <c r="I230" s="1">
        <v>109246.81</v>
      </c>
      <c r="J230" s="1">
        <v>0</v>
      </c>
      <c r="K230">
        <f t="shared" si="3"/>
        <v>1</v>
      </c>
    </row>
    <row r="231" spans="1:11" x14ac:dyDescent="0.35">
      <c r="A231" s="1">
        <v>230</v>
      </c>
      <c r="B231" s="1">
        <v>19</v>
      </c>
      <c r="C231" s="1" t="s">
        <v>11</v>
      </c>
      <c r="D231" s="1">
        <v>63</v>
      </c>
      <c r="E231" s="1">
        <v>43427.58</v>
      </c>
      <c r="F231" s="1">
        <v>2</v>
      </c>
      <c r="G231" s="1">
        <v>1</v>
      </c>
      <c r="H231" s="1">
        <v>0</v>
      </c>
      <c r="I231" s="1">
        <v>125959.37</v>
      </c>
      <c r="J231" s="1">
        <v>0</v>
      </c>
      <c r="K231">
        <f t="shared" si="3"/>
        <v>1</v>
      </c>
    </row>
    <row r="232" spans="1:11" x14ac:dyDescent="0.35">
      <c r="A232" s="1">
        <v>231</v>
      </c>
      <c r="B232" s="1">
        <v>45</v>
      </c>
      <c r="C232" s="1" t="s">
        <v>11</v>
      </c>
      <c r="D232" s="1">
        <v>7</v>
      </c>
      <c r="E232" s="1">
        <v>3234.34</v>
      </c>
      <c r="F232" s="1">
        <v>4</v>
      </c>
      <c r="G232" s="1">
        <v>1</v>
      </c>
      <c r="H232" s="1">
        <v>0</v>
      </c>
      <c r="I232" s="1">
        <v>134068.78</v>
      </c>
      <c r="J232" s="1">
        <v>1</v>
      </c>
      <c r="K232">
        <f t="shared" si="3"/>
        <v>1</v>
      </c>
    </row>
    <row r="233" spans="1:11" x14ac:dyDescent="0.35">
      <c r="A233" s="1">
        <v>232</v>
      </c>
      <c r="B233" s="1">
        <v>40</v>
      </c>
      <c r="C233" s="1" t="s">
        <v>10</v>
      </c>
      <c r="D233" s="1">
        <v>49</v>
      </c>
      <c r="E233" s="1">
        <v>47791.22</v>
      </c>
      <c r="F233" s="1">
        <v>3</v>
      </c>
      <c r="G233" s="1">
        <v>1</v>
      </c>
      <c r="H233" s="1">
        <v>1</v>
      </c>
      <c r="I233" s="1">
        <v>120513.86</v>
      </c>
      <c r="J233" s="1">
        <v>0</v>
      </c>
      <c r="K233">
        <f t="shared" si="3"/>
        <v>1</v>
      </c>
    </row>
    <row r="234" spans="1:11" x14ac:dyDescent="0.35">
      <c r="A234" s="1">
        <v>233</v>
      </c>
      <c r="B234" s="1">
        <v>54</v>
      </c>
      <c r="C234" s="1" t="s">
        <v>10</v>
      </c>
      <c r="D234" s="1">
        <v>31</v>
      </c>
      <c r="E234" s="1">
        <v>1257.0999999999999</v>
      </c>
      <c r="F234" s="1">
        <v>2</v>
      </c>
      <c r="G234" s="1">
        <v>0</v>
      </c>
      <c r="H234" s="1">
        <v>0</v>
      </c>
      <c r="I234" s="1">
        <v>107306.41</v>
      </c>
      <c r="J234" s="1">
        <v>0</v>
      </c>
      <c r="K234">
        <f t="shared" si="3"/>
        <v>1</v>
      </c>
    </row>
    <row r="235" spans="1:11" x14ac:dyDescent="0.35">
      <c r="A235" s="1">
        <v>234</v>
      </c>
      <c r="B235" s="1">
        <v>49</v>
      </c>
      <c r="C235" s="1" t="s">
        <v>10</v>
      </c>
      <c r="D235" s="1">
        <v>58</v>
      </c>
      <c r="E235" s="1">
        <v>34722.519999999997</v>
      </c>
      <c r="F235" s="1">
        <v>2</v>
      </c>
      <c r="G235" s="1">
        <v>1</v>
      </c>
      <c r="H235" s="1">
        <v>0</v>
      </c>
      <c r="I235" s="1">
        <v>24123.919999999998</v>
      </c>
      <c r="J235" s="1">
        <v>0</v>
      </c>
      <c r="K235">
        <f t="shared" si="3"/>
        <v>1</v>
      </c>
    </row>
    <row r="236" spans="1:11" x14ac:dyDescent="0.35">
      <c r="A236" s="1">
        <v>235</v>
      </c>
      <c r="B236" s="1">
        <v>50</v>
      </c>
      <c r="C236" s="1" t="s">
        <v>11</v>
      </c>
      <c r="D236" s="1">
        <v>61</v>
      </c>
      <c r="E236" s="1">
        <v>4110.3500000000004</v>
      </c>
      <c r="F236" s="1">
        <v>1</v>
      </c>
      <c r="G236" s="1">
        <v>0</v>
      </c>
      <c r="H236" s="1">
        <v>1</v>
      </c>
      <c r="I236" s="1">
        <v>89545.67</v>
      </c>
      <c r="J236" s="1">
        <v>0</v>
      </c>
      <c r="K236">
        <f t="shared" si="3"/>
        <v>1</v>
      </c>
    </row>
    <row r="237" spans="1:11" x14ac:dyDescent="0.35">
      <c r="A237" s="1">
        <v>236</v>
      </c>
      <c r="B237" s="1">
        <v>18</v>
      </c>
      <c r="C237" s="1" t="s">
        <v>11</v>
      </c>
      <c r="D237" s="1">
        <v>24</v>
      </c>
      <c r="E237" s="1">
        <v>45533.83</v>
      </c>
      <c r="F237" s="1">
        <v>1</v>
      </c>
      <c r="G237" s="1">
        <v>0</v>
      </c>
      <c r="H237" s="1">
        <v>1</v>
      </c>
      <c r="I237" s="1">
        <v>24900.7</v>
      </c>
      <c r="J237" s="1">
        <v>0</v>
      </c>
      <c r="K237">
        <f t="shared" si="3"/>
        <v>1</v>
      </c>
    </row>
    <row r="238" spans="1:11" x14ac:dyDescent="0.35">
      <c r="A238" s="1">
        <v>237</v>
      </c>
      <c r="B238" s="1">
        <v>36</v>
      </c>
      <c r="C238" s="1" t="s">
        <v>11</v>
      </c>
      <c r="D238" s="1">
        <v>20</v>
      </c>
      <c r="E238" s="1">
        <v>23221.66</v>
      </c>
      <c r="F238" s="1">
        <v>1</v>
      </c>
      <c r="G238" s="1">
        <v>0</v>
      </c>
      <c r="H238" s="1">
        <v>0</v>
      </c>
      <c r="I238" s="1">
        <v>125048.82</v>
      </c>
      <c r="J238" s="1">
        <v>0</v>
      </c>
      <c r="K238">
        <f t="shared" si="3"/>
        <v>1</v>
      </c>
    </row>
    <row r="239" spans="1:11" x14ac:dyDescent="0.35">
      <c r="A239" s="1">
        <v>238</v>
      </c>
      <c r="B239" s="1">
        <v>19</v>
      </c>
      <c r="C239" s="1" t="s">
        <v>11</v>
      </c>
      <c r="D239" s="1">
        <v>37</v>
      </c>
      <c r="E239" s="1">
        <v>6876.19</v>
      </c>
      <c r="F239" s="1">
        <v>2</v>
      </c>
      <c r="G239" s="1">
        <v>0</v>
      </c>
      <c r="H239" s="1">
        <v>1</v>
      </c>
      <c r="I239" s="1">
        <v>61694.19</v>
      </c>
      <c r="J239" s="1">
        <v>0</v>
      </c>
      <c r="K239">
        <f t="shared" si="3"/>
        <v>1</v>
      </c>
    </row>
    <row r="240" spans="1:11" x14ac:dyDescent="0.35">
      <c r="A240" s="1">
        <v>239</v>
      </c>
      <c r="B240" s="1">
        <v>61</v>
      </c>
      <c r="C240" s="1" t="s">
        <v>10</v>
      </c>
      <c r="D240" s="1">
        <v>4</v>
      </c>
      <c r="E240" s="1">
        <v>17040.78</v>
      </c>
      <c r="F240" s="1">
        <v>3</v>
      </c>
      <c r="G240" s="1">
        <v>0</v>
      </c>
      <c r="H240" s="1">
        <v>0</v>
      </c>
      <c r="I240" s="1">
        <v>93115.82</v>
      </c>
      <c r="J240" s="1">
        <v>0</v>
      </c>
      <c r="K240">
        <f t="shared" si="3"/>
        <v>1</v>
      </c>
    </row>
    <row r="241" spans="1:11" x14ac:dyDescent="0.35">
      <c r="A241" s="1">
        <v>240</v>
      </c>
      <c r="B241" s="1">
        <v>43</v>
      </c>
      <c r="C241" s="1" t="s">
        <v>10</v>
      </c>
      <c r="D241" s="1">
        <v>20</v>
      </c>
      <c r="E241" s="1">
        <v>8241.23</v>
      </c>
      <c r="F241" s="1">
        <v>1</v>
      </c>
      <c r="G241" s="1">
        <v>0</v>
      </c>
      <c r="H241" s="1">
        <v>0</v>
      </c>
      <c r="I241" s="1">
        <v>56327.89</v>
      </c>
      <c r="J241" s="1">
        <v>0</v>
      </c>
      <c r="K241">
        <f t="shared" si="3"/>
        <v>1</v>
      </c>
    </row>
    <row r="242" spans="1:11" x14ac:dyDescent="0.35">
      <c r="A242" s="1">
        <v>241</v>
      </c>
      <c r="B242" s="1">
        <v>49</v>
      </c>
      <c r="C242" s="1" t="s">
        <v>10</v>
      </c>
      <c r="D242" s="1">
        <v>60</v>
      </c>
      <c r="E242" s="1">
        <v>8529.1</v>
      </c>
      <c r="F242" s="1">
        <v>3</v>
      </c>
      <c r="G242" s="1">
        <v>1</v>
      </c>
      <c r="H242" s="1">
        <v>1</v>
      </c>
      <c r="I242" s="1">
        <v>121725.02</v>
      </c>
      <c r="J242" s="1">
        <v>0</v>
      </c>
      <c r="K242">
        <f t="shared" si="3"/>
        <v>1</v>
      </c>
    </row>
    <row r="243" spans="1:11" x14ac:dyDescent="0.35">
      <c r="A243" s="1">
        <v>242</v>
      </c>
      <c r="B243" s="1">
        <v>23</v>
      </c>
      <c r="C243" s="1" t="s">
        <v>10</v>
      </c>
      <c r="D243" s="1">
        <v>24</v>
      </c>
      <c r="E243" s="1">
        <v>47405.42</v>
      </c>
      <c r="F243" s="1">
        <v>1</v>
      </c>
      <c r="G243" s="1">
        <v>0</v>
      </c>
      <c r="H243" s="1">
        <v>0</v>
      </c>
      <c r="I243" s="1">
        <v>135245.32999999999</v>
      </c>
      <c r="J243" s="1">
        <v>0</v>
      </c>
      <c r="K243">
        <f t="shared" si="3"/>
        <v>1</v>
      </c>
    </row>
    <row r="244" spans="1:11" x14ac:dyDescent="0.35">
      <c r="A244" s="1">
        <v>243</v>
      </c>
      <c r="B244" s="1">
        <v>49</v>
      </c>
      <c r="C244" s="1" t="s">
        <v>11</v>
      </c>
      <c r="D244" s="1">
        <v>50</v>
      </c>
      <c r="E244" s="1">
        <v>22262.31</v>
      </c>
      <c r="F244" s="1">
        <v>4</v>
      </c>
      <c r="G244" s="1">
        <v>0</v>
      </c>
      <c r="H244" s="1">
        <v>1</v>
      </c>
      <c r="I244" s="1">
        <v>71823.520000000004</v>
      </c>
      <c r="J244" s="1">
        <v>0</v>
      </c>
      <c r="K244">
        <f t="shared" si="3"/>
        <v>1</v>
      </c>
    </row>
    <row r="245" spans="1:11" x14ac:dyDescent="0.35">
      <c r="A245" s="1">
        <v>244</v>
      </c>
      <c r="B245" s="1">
        <v>21</v>
      </c>
      <c r="C245" s="1" t="s">
        <v>11</v>
      </c>
      <c r="D245" s="1">
        <v>49</v>
      </c>
      <c r="E245" s="1">
        <v>39440.11</v>
      </c>
      <c r="F245" s="1">
        <v>4</v>
      </c>
      <c r="G245" s="1">
        <v>1</v>
      </c>
      <c r="H245" s="1">
        <v>1</v>
      </c>
      <c r="I245" s="1">
        <v>132179.91</v>
      </c>
      <c r="J245" s="1">
        <v>0</v>
      </c>
      <c r="K245">
        <f t="shared" si="3"/>
        <v>1</v>
      </c>
    </row>
    <row r="246" spans="1:11" x14ac:dyDescent="0.35">
      <c r="A246" s="1">
        <v>245</v>
      </c>
      <c r="B246" s="1">
        <v>28</v>
      </c>
      <c r="C246" s="1" t="s">
        <v>10</v>
      </c>
      <c r="D246" s="1">
        <v>51</v>
      </c>
      <c r="E246" s="1">
        <v>31980.28</v>
      </c>
      <c r="F246" s="1">
        <v>1</v>
      </c>
      <c r="G246" s="1">
        <v>0</v>
      </c>
      <c r="H246" s="1">
        <v>0</v>
      </c>
      <c r="I246" s="1">
        <v>54719.75</v>
      </c>
      <c r="J246" s="1">
        <v>0</v>
      </c>
      <c r="K246">
        <f t="shared" si="3"/>
        <v>1</v>
      </c>
    </row>
    <row r="247" spans="1:11" x14ac:dyDescent="0.35">
      <c r="A247" s="1">
        <v>246</v>
      </c>
      <c r="B247" s="1">
        <v>34</v>
      </c>
      <c r="C247" s="1" t="s">
        <v>10</v>
      </c>
      <c r="D247" s="1">
        <v>36</v>
      </c>
      <c r="E247" s="1">
        <v>33821.32</v>
      </c>
      <c r="F247" s="1">
        <v>2</v>
      </c>
      <c r="G247" s="1">
        <v>1</v>
      </c>
      <c r="H247" s="1">
        <v>0</v>
      </c>
      <c r="I247" s="1">
        <v>89505.919999999998</v>
      </c>
      <c r="J247" s="1">
        <v>0</v>
      </c>
      <c r="K247">
        <f t="shared" si="3"/>
        <v>1</v>
      </c>
    </row>
    <row r="248" spans="1:11" x14ac:dyDescent="0.35">
      <c r="A248" s="1">
        <v>247</v>
      </c>
      <c r="B248" s="1">
        <v>55</v>
      </c>
      <c r="C248" s="1" t="s">
        <v>11</v>
      </c>
      <c r="D248" s="1">
        <v>66</v>
      </c>
      <c r="E248" s="1">
        <v>6584.67</v>
      </c>
      <c r="F248" s="1">
        <v>1</v>
      </c>
      <c r="G248" s="1">
        <v>1</v>
      </c>
      <c r="H248" s="1">
        <v>0</v>
      </c>
      <c r="I248" s="1">
        <v>131638.99</v>
      </c>
      <c r="J248" s="1">
        <v>0</v>
      </c>
      <c r="K248">
        <f t="shared" si="3"/>
        <v>1</v>
      </c>
    </row>
    <row r="249" spans="1:11" x14ac:dyDescent="0.35">
      <c r="A249" s="1">
        <v>248</v>
      </c>
      <c r="B249" s="1">
        <v>41</v>
      </c>
      <c r="C249" s="1" t="s">
        <v>10</v>
      </c>
      <c r="D249" s="1">
        <v>34</v>
      </c>
      <c r="E249" s="1">
        <v>11709.22</v>
      </c>
      <c r="F249" s="1">
        <v>1</v>
      </c>
      <c r="G249" s="1">
        <v>1</v>
      </c>
      <c r="H249" s="1">
        <v>1</v>
      </c>
      <c r="I249" s="1">
        <v>62364.57</v>
      </c>
      <c r="J249" s="1">
        <v>0</v>
      </c>
      <c r="K249">
        <f t="shared" si="3"/>
        <v>1</v>
      </c>
    </row>
    <row r="250" spans="1:11" x14ac:dyDescent="0.35">
      <c r="A250" s="1">
        <v>249</v>
      </c>
      <c r="B250" s="1">
        <v>22</v>
      </c>
      <c r="C250" s="1" t="s">
        <v>11</v>
      </c>
      <c r="D250" s="1">
        <v>36</v>
      </c>
      <c r="E250" s="1">
        <v>39337.519999999997</v>
      </c>
      <c r="F250" s="1">
        <v>2</v>
      </c>
      <c r="G250" s="1">
        <v>0</v>
      </c>
      <c r="H250" s="1">
        <v>0</v>
      </c>
      <c r="I250" s="1">
        <v>144025.49</v>
      </c>
      <c r="J250" s="1">
        <v>0</v>
      </c>
      <c r="K250">
        <f t="shared" si="3"/>
        <v>1</v>
      </c>
    </row>
    <row r="251" spans="1:11" x14ac:dyDescent="0.35">
      <c r="A251" s="1">
        <v>250</v>
      </c>
      <c r="B251" s="1">
        <v>69</v>
      </c>
      <c r="C251" s="1" t="s">
        <v>10</v>
      </c>
      <c r="D251" s="1">
        <v>6</v>
      </c>
      <c r="E251" s="1">
        <v>48538.31</v>
      </c>
      <c r="F251" s="1">
        <v>4</v>
      </c>
      <c r="G251" s="1">
        <v>0</v>
      </c>
      <c r="H251" s="1">
        <v>1</v>
      </c>
      <c r="I251" s="1">
        <v>35844.339999999997</v>
      </c>
      <c r="J251" s="1">
        <v>0</v>
      </c>
      <c r="K251">
        <f t="shared" si="3"/>
        <v>1</v>
      </c>
    </row>
    <row r="252" spans="1:11" x14ac:dyDescent="0.35">
      <c r="A252" s="1">
        <v>251</v>
      </c>
      <c r="B252" s="1">
        <v>51</v>
      </c>
      <c r="C252" s="1" t="s">
        <v>10</v>
      </c>
      <c r="D252" s="1">
        <v>39</v>
      </c>
      <c r="E252" s="1">
        <v>13133.78</v>
      </c>
      <c r="F252" s="1">
        <v>3</v>
      </c>
      <c r="G252" s="1">
        <v>1</v>
      </c>
      <c r="H252" s="1">
        <v>1</v>
      </c>
      <c r="I252" s="1">
        <v>22375.759999999998</v>
      </c>
      <c r="J252" s="1">
        <v>0</v>
      </c>
      <c r="K252">
        <f t="shared" si="3"/>
        <v>1</v>
      </c>
    </row>
    <row r="253" spans="1:11" x14ac:dyDescent="0.35">
      <c r="A253" s="1">
        <v>252</v>
      </c>
      <c r="B253" s="1">
        <v>23</v>
      </c>
      <c r="C253" s="1" t="s">
        <v>10</v>
      </c>
      <c r="D253" s="1">
        <v>42</v>
      </c>
      <c r="E253" s="1">
        <v>13578.44</v>
      </c>
      <c r="F253" s="1">
        <v>1</v>
      </c>
      <c r="G253" s="1">
        <v>0</v>
      </c>
      <c r="H253" s="1">
        <v>0</v>
      </c>
      <c r="I253" s="1">
        <v>137537.60000000001</v>
      </c>
      <c r="J253" s="1">
        <v>0</v>
      </c>
      <c r="K253">
        <f t="shared" si="3"/>
        <v>1</v>
      </c>
    </row>
    <row r="254" spans="1:11" x14ac:dyDescent="0.35">
      <c r="A254" s="1">
        <v>253</v>
      </c>
      <c r="B254" s="1">
        <v>39</v>
      </c>
      <c r="C254" s="1" t="s">
        <v>10</v>
      </c>
      <c r="D254" s="1">
        <v>58</v>
      </c>
      <c r="E254" s="1">
        <v>23644.86</v>
      </c>
      <c r="F254" s="1">
        <v>2</v>
      </c>
      <c r="G254" s="1">
        <v>0</v>
      </c>
      <c r="H254" s="1">
        <v>1</v>
      </c>
      <c r="I254" s="1">
        <v>28924.33</v>
      </c>
      <c r="J254" s="1">
        <v>0</v>
      </c>
      <c r="K254">
        <f t="shared" si="3"/>
        <v>1</v>
      </c>
    </row>
    <row r="255" spans="1:11" x14ac:dyDescent="0.35">
      <c r="A255" s="1">
        <v>254</v>
      </c>
      <c r="B255" s="1">
        <v>28</v>
      </c>
      <c r="C255" s="1" t="s">
        <v>10</v>
      </c>
      <c r="D255" s="1">
        <v>12</v>
      </c>
      <c r="E255" s="1">
        <v>49192.02</v>
      </c>
      <c r="F255" s="1">
        <v>1</v>
      </c>
      <c r="G255" s="1">
        <v>1</v>
      </c>
      <c r="H255" s="1">
        <v>0</v>
      </c>
      <c r="I255" s="1">
        <v>148945.60000000001</v>
      </c>
      <c r="J255" s="1">
        <v>0</v>
      </c>
      <c r="K255">
        <f t="shared" si="3"/>
        <v>1</v>
      </c>
    </row>
    <row r="256" spans="1:11" x14ac:dyDescent="0.35">
      <c r="A256" s="1">
        <v>255</v>
      </c>
      <c r="B256" s="1">
        <v>65</v>
      </c>
      <c r="C256" s="1" t="s">
        <v>10</v>
      </c>
      <c r="D256" s="1">
        <v>3</v>
      </c>
      <c r="E256" s="1">
        <v>13447.95</v>
      </c>
      <c r="F256" s="1">
        <v>2</v>
      </c>
      <c r="G256" s="1">
        <v>1</v>
      </c>
      <c r="H256" s="1">
        <v>0</v>
      </c>
      <c r="I256" s="1">
        <v>143681.59</v>
      </c>
      <c r="J256" s="1">
        <v>0</v>
      </c>
      <c r="K256">
        <f t="shared" si="3"/>
        <v>1</v>
      </c>
    </row>
    <row r="257" spans="1:11" x14ac:dyDescent="0.35">
      <c r="A257" s="1">
        <v>256</v>
      </c>
      <c r="B257" s="1">
        <v>33</v>
      </c>
      <c r="C257" s="1" t="s">
        <v>10</v>
      </c>
      <c r="D257" s="1">
        <v>18</v>
      </c>
      <c r="E257" s="1">
        <v>20348.599999999999</v>
      </c>
      <c r="F257" s="1">
        <v>3</v>
      </c>
      <c r="G257" s="1">
        <v>0</v>
      </c>
      <c r="H257" s="1">
        <v>0</v>
      </c>
      <c r="I257" s="1">
        <v>37812.720000000001</v>
      </c>
      <c r="J257" s="1">
        <v>0</v>
      </c>
      <c r="K257">
        <f t="shared" si="3"/>
        <v>1</v>
      </c>
    </row>
    <row r="258" spans="1:11" x14ac:dyDescent="0.35">
      <c r="A258" s="1">
        <v>257</v>
      </c>
      <c r="B258" s="1">
        <v>50</v>
      </c>
      <c r="C258" s="1" t="s">
        <v>11</v>
      </c>
      <c r="D258" s="1">
        <v>40</v>
      </c>
      <c r="E258" s="1">
        <v>44574</v>
      </c>
      <c r="F258" s="1">
        <v>3</v>
      </c>
      <c r="G258" s="1">
        <v>1</v>
      </c>
      <c r="H258" s="1">
        <v>0</v>
      </c>
      <c r="I258" s="1">
        <v>89886</v>
      </c>
      <c r="J258" s="1">
        <v>0</v>
      </c>
      <c r="K258">
        <f t="shared" si="3"/>
        <v>1</v>
      </c>
    </row>
    <row r="259" spans="1:11" x14ac:dyDescent="0.35">
      <c r="A259" s="1">
        <v>258</v>
      </c>
      <c r="B259" s="1">
        <v>26</v>
      </c>
      <c r="C259" s="1" t="s">
        <v>11</v>
      </c>
      <c r="D259" s="1">
        <v>21</v>
      </c>
      <c r="E259" s="1">
        <v>146.05000000000001</v>
      </c>
      <c r="F259" s="1">
        <v>4</v>
      </c>
      <c r="G259" s="1">
        <v>1</v>
      </c>
      <c r="H259" s="1">
        <v>0</v>
      </c>
      <c r="I259" s="1">
        <v>44039.64</v>
      </c>
      <c r="J259" s="1">
        <v>0</v>
      </c>
      <c r="K259">
        <f t="shared" ref="K259:K322" si="4">COUNTIF($A$2:$A$1001,A259)</f>
        <v>1</v>
      </c>
    </row>
    <row r="260" spans="1:11" x14ac:dyDescent="0.35">
      <c r="A260" s="1">
        <v>259</v>
      </c>
      <c r="B260" s="1">
        <v>23</v>
      </c>
      <c r="C260" s="1" t="s">
        <v>11</v>
      </c>
      <c r="D260" s="1">
        <v>15</v>
      </c>
      <c r="E260" s="1">
        <v>1988.3</v>
      </c>
      <c r="F260" s="1">
        <v>2</v>
      </c>
      <c r="G260" s="1">
        <v>1</v>
      </c>
      <c r="H260" s="1">
        <v>0</v>
      </c>
      <c r="I260" s="1">
        <v>75660.17</v>
      </c>
      <c r="J260" s="1">
        <v>0</v>
      </c>
      <c r="K260">
        <f t="shared" si="4"/>
        <v>1</v>
      </c>
    </row>
    <row r="261" spans="1:11" x14ac:dyDescent="0.35">
      <c r="A261" s="1">
        <v>260</v>
      </c>
      <c r="B261" s="1">
        <v>33</v>
      </c>
      <c r="C261" s="1" t="s">
        <v>11</v>
      </c>
      <c r="D261" s="1">
        <v>26</v>
      </c>
      <c r="E261" s="1">
        <v>30203.58</v>
      </c>
      <c r="F261" s="1">
        <v>2</v>
      </c>
      <c r="G261" s="1">
        <v>0</v>
      </c>
      <c r="H261" s="1">
        <v>0</v>
      </c>
      <c r="I261" s="1">
        <v>27985.27</v>
      </c>
      <c r="J261" s="1">
        <v>0</v>
      </c>
      <c r="K261">
        <f t="shared" si="4"/>
        <v>1</v>
      </c>
    </row>
    <row r="262" spans="1:11" x14ac:dyDescent="0.35">
      <c r="A262" s="1">
        <v>261</v>
      </c>
      <c r="B262" s="1">
        <v>46</v>
      </c>
      <c r="C262" s="1" t="s">
        <v>11</v>
      </c>
      <c r="D262" s="1">
        <v>8</v>
      </c>
      <c r="E262" s="1">
        <v>45369.01</v>
      </c>
      <c r="F262" s="1">
        <v>4</v>
      </c>
      <c r="G262" s="1">
        <v>0</v>
      </c>
      <c r="H262" s="1">
        <v>1</v>
      </c>
      <c r="I262" s="1">
        <v>49110.2</v>
      </c>
      <c r="J262" s="1">
        <v>0</v>
      </c>
      <c r="K262">
        <f t="shared" si="4"/>
        <v>1</v>
      </c>
    </row>
    <row r="263" spans="1:11" x14ac:dyDescent="0.35">
      <c r="A263" s="1">
        <v>262</v>
      </c>
      <c r="B263" s="1">
        <v>20</v>
      </c>
      <c r="C263" s="1" t="s">
        <v>10</v>
      </c>
      <c r="D263" s="1">
        <v>42</v>
      </c>
      <c r="E263" s="1">
        <v>11942.83</v>
      </c>
      <c r="F263" s="1">
        <v>4</v>
      </c>
      <c r="G263" s="1">
        <v>0</v>
      </c>
      <c r="H263" s="1">
        <v>0</v>
      </c>
      <c r="I263" s="1">
        <v>67225.460000000006</v>
      </c>
      <c r="J263" s="1">
        <v>0</v>
      </c>
      <c r="K263">
        <f t="shared" si="4"/>
        <v>1</v>
      </c>
    </row>
    <row r="264" spans="1:11" x14ac:dyDescent="0.35">
      <c r="A264" s="1">
        <v>263</v>
      </c>
      <c r="B264" s="1">
        <v>37</v>
      </c>
      <c r="C264" s="1" t="s">
        <v>10</v>
      </c>
      <c r="D264" s="1">
        <v>44</v>
      </c>
      <c r="E264" s="1">
        <v>23482.09</v>
      </c>
      <c r="F264" s="1">
        <v>2</v>
      </c>
      <c r="G264" s="1">
        <v>1</v>
      </c>
      <c r="H264" s="1">
        <v>1</v>
      </c>
      <c r="I264" s="1">
        <v>77024.179999999993</v>
      </c>
      <c r="J264" s="1">
        <v>0</v>
      </c>
      <c r="K264">
        <f t="shared" si="4"/>
        <v>1</v>
      </c>
    </row>
    <row r="265" spans="1:11" x14ac:dyDescent="0.35">
      <c r="A265" s="1">
        <v>264</v>
      </c>
      <c r="B265" s="1">
        <v>53</v>
      </c>
      <c r="C265" s="1" t="s">
        <v>11</v>
      </c>
      <c r="D265" s="1">
        <v>14</v>
      </c>
      <c r="E265" s="1">
        <v>22523.27</v>
      </c>
      <c r="F265" s="1">
        <v>4</v>
      </c>
      <c r="G265" s="1">
        <v>0</v>
      </c>
      <c r="H265" s="1">
        <v>1</v>
      </c>
      <c r="I265" s="1">
        <v>147074.51</v>
      </c>
      <c r="J265" s="1">
        <v>0</v>
      </c>
      <c r="K265">
        <f t="shared" si="4"/>
        <v>1</v>
      </c>
    </row>
    <row r="266" spans="1:11" x14ac:dyDescent="0.35">
      <c r="A266" s="1">
        <v>265</v>
      </c>
      <c r="B266" s="1">
        <v>36</v>
      </c>
      <c r="C266" s="1" t="s">
        <v>10</v>
      </c>
      <c r="D266" s="1">
        <v>2</v>
      </c>
      <c r="E266" s="1">
        <v>23648.57</v>
      </c>
      <c r="F266" s="1">
        <v>3</v>
      </c>
      <c r="G266" s="1">
        <v>1</v>
      </c>
      <c r="H266" s="1">
        <v>1</v>
      </c>
      <c r="I266" s="1">
        <v>125022.53</v>
      </c>
      <c r="J266" s="1">
        <v>0</v>
      </c>
      <c r="K266">
        <f t="shared" si="4"/>
        <v>1</v>
      </c>
    </row>
    <row r="267" spans="1:11" x14ac:dyDescent="0.35">
      <c r="A267" s="1">
        <v>266</v>
      </c>
      <c r="B267" s="1">
        <v>43</v>
      </c>
      <c r="C267" s="1" t="s">
        <v>11</v>
      </c>
      <c r="D267" s="1">
        <v>37</v>
      </c>
      <c r="E267" s="1">
        <v>31125.98</v>
      </c>
      <c r="F267" s="1">
        <v>1</v>
      </c>
      <c r="G267" s="1">
        <v>0</v>
      </c>
      <c r="H267" s="1">
        <v>0</v>
      </c>
      <c r="I267" s="1">
        <v>115863.29</v>
      </c>
      <c r="J267" s="1">
        <v>0</v>
      </c>
      <c r="K267">
        <f t="shared" si="4"/>
        <v>1</v>
      </c>
    </row>
    <row r="268" spans="1:11" x14ac:dyDescent="0.35">
      <c r="A268" s="1">
        <v>267</v>
      </c>
      <c r="B268" s="1">
        <v>20</v>
      </c>
      <c r="C268" s="1" t="s">
        <v>11</v>
      </c>
      <c r="D268" s="1">
        <v>69</v>
      </c>
      <c r="E268" s="1">
        <v>23487.19</v>
      </c>
      <c r="F268" s="1">
        <v>3</v>
      </c>
      <c r="G268" s="1">
        <v>0</v>
      </c>
      <c r="H268" s="1">
        <v>1</v>
      </c>
      <c r="I268" s="1">
        <v>89815.37</v>
      </c>
      <c r="J268" s="1">
        <v>0</v>
      </c>
      <c r="K268">
        <f t="shared" si="4"/>
        <v>1</v>
      </c>
    </row>
    <row r="269" spans="1:11" x14ac:dyDescent="0.35">
      <c r="A269" s="1">
        <v>268</v>
      </c>
      <c r="B269" s="1">
        <v>36</v>
      </c>
      <c r="C269" s="1" t="s">
        <v>10</v>
      </c>
      <c r="D269" s="1">
        <v>38</v>
      </c>
      <c r="E269" s="1">
        <v>22373.41</v>
      </c>
      <c r="F269" s="1">
        <v>4</v>
      </c>
      <c r="G269" s="1">
        <v>1</v>
      </c>
      <c r="H269" s="1">
        <v>1</v>
      </c>
      <c r="I269" s="1">
        <v>129199.71</v>
      </c>
      <c r="J269" s="1">
        <v>0</v>
      </c>
      <c r="K269">
        <f t="shared" si="4"/>
        <v>1</v>
      </c>
    </row>
    <row r="270" spans="1:11" x14ac:dyDescent="0.35">
      <c r="A270" s="1">
        <v>269</v>
      </c>
      <c r="B270" s="1">
        <v>37</v>
      </c>
      <c r="C270" s="1" t="s">
        <v>10</v>
      </c>
      <c r="D270" s="1">
        <v>41</v>
      </c>
      <c r="E270" s="1">
        <v>23714.42</v>
      </c>
      <c r="F270" s="1">
        <v>2</v>
      </c>
      <c r="G270" s="1">
        <v>0</v>
      </c>
      <c r="H270" s="1">
        <v>0</v>
      </c>
      <c r="I270" s="1">
        <v>64111.97</v>
      </c>
      <c r="J270" s="1">
        <v>0</v>
      </c>
      <c r="K270">
        <f t="shared" si="4"/>
        <v>1</v>
      </c>
    </row>
    <row r="271" spans="1:11" x14ac:dyDescent="0.35">
      <c r="A271" s="1">
        <v>270</v>
      </c>
      <c r="B271" s="1">
        <v>49</v>
      </c>
      <c r="C271" s="1" t="s">
        <v>10</v>
      </c>
      <c r="D271" s="1">
        <v>62</v>
      </c>
      <c r="E271" s="1">
        <v>29543.37</v>
      </c>
      <c r="F271" s="1">
        <v>2</v>
      </c>
      <c r="G271" s="1">
        <v>1</v>
      </c>
      <c r="H271" s="1">
        <v>0</v>
      </c>
      <c r="I271" s="1">
        <v>112156.88</v>
      </c>
      <c r="J271" s="1">
        <v>0</v>
      </c>
      <c r="K271">
        <f t="shared" si="4"/>
        <v>1</v>
      </c>
    </row>
    <row r="272" spans="1:11" x14ac:dyDescent="0.35">
      <c r="A272" s="1">
        <v>271</v>
      </c>
      <c r="B272" s="1">
        <v>24</v>
      </c>
      <c r="C272" s="1" t="s">
        <v>11</v>
      </c>
      <c r="D272" s="1">
        <v>60</v>
      </c>
      <c r="E272" s="1">
        <v>26850.37</v>
      </c>
      <c r="F272" s="1">
        <v>3</v>
      </c>
      <c r="G272" s="1">
        <v>0</v>
      </c>
      <c r="H272" s="1">
        <v>1</v>
      </c>
      <c r="I272" s="1">
        <v>149191.92000000001</v>
      </c>
      <c r="J272" s="1">
        <v>0</v>
      </c>
      <c r="K272">
        <f t="shared" si="4"/>
        <v>1</v>
      </c>
    </row>
    <row r="273" spans="1:11" x14ac:dyDescent="0.35">
      <c r="A273" s="1">
        <v>272</v>
      </c>
      <c r="B273" s="1">
        <v>69</v>
      </c>
      <c r="C273" s="1" t="s">
        <v>10</v>
      </c>
      <c r="D273" s="1">
        <v>14</v>
      </c>
      <c r="E273" s="1">
        <v>42706.8</v>
      </c>
      <c r="F273" s="1">
        <v>2</v>
      </c>
      <c r="G273" s="1">
        <v>0</v>
      </c>
      <c r="H273" s="1">
        <v>0</v>
      </c>
      <c r="I273" s="1">
        <v>60901.760000000002</v>
      </c>
      <c r="J273" s="1">
        <v>0</v>
      </c>
      <c r="K273">
        <f t="shared" si="4"/>
        <v>1</v>
      </c>
    </row>
    <row r="274" spans="1:11" x14ac:dyDescent="0.35">
      <c r="A274" s="1">
        <v>273</v>
      </c>
      <c r="B274" s="1">
        <v>58</v>
      </c>
      <c r="C274" s="1" t="s">
        <v>11</v>
      </c>
      <c r="D274" s="1">
        <v>2</v>
      </c>
      <c r="E274" s="1">
        <v>2474.84</v>
      </c>
      <c r="F274" s="1">
        <v>4</v>
      </c>
      <c r="G274" s="1">
        <v>1</v>
      </c>
      <c r="H274" s="1">
        <v>0</v>
      </c>
      <c r="I274" s="1">
        <v>107622.28</v>
      </c>
      <c r="J274" s="1">
        <v>1</v>
      </c>
      <c r="K274">
        <f t="shared" si="4"/>
        <v>1</v>
      </c>
    </row>
    <row r="275" spans="1:11" x14ac:dyDescent="0.35">
      <c r="A275" s="1">
        <v>274</v>
      </c>
      <c r="B275" s="1">
        <v>50</v>
      </c>
      <c r="C275" s="1" t="s">
        <v>11</v>
      </c>
      <c r="D275" s="1">
        <v>70</v>
      </c>
      <c r="E275" s="1">
        <v>41665.85</v>
      </c>
      <c r="F275" s="1">
        <v>3</v>
      </c>
      <c r="G275" s="1">
        <v>1</v>
      </c>
      <c r="H275" s="1">
        <v>0</v>
      </c>
      <c r="I275" s="1">
        <v>129760.93</v>
      </c>
      <c r="J275" s="1">
        <v>0</v>
      </c>
      <c r="K275">
        <f t="shared" si="4"/>
        <v>1</v>
      </c>
    </row>
    <row r="276" spans="1:11" x14ac:dyDescent="0.35">
      <c r="A276" s="1">
        <v>275</v>
      </c>
      <c r="B276" s="1">
        <v>57</v>
      </c>
      <c r="C276" s="1" t="s">
        <v>11</v>
      </c>
      <c r="D276" s="1">
        <v>17</v>
      </c>
      <c r="E276" s="1">
        <v>42196.23</v>
      </c>
      <c r="F276" s="1">
        <v>2</v>
      </c>
      <c r="G276" s="1">
        <v>1</v>
      </c>
      <c r="H276" s="1">
        <v>0</v>
      </c>
      <c r="I276" s="1">
        <v>139054.99</v>
      </c>
      <c r="J276" s="1">
        <v>0</v>
      </c>
      <c r="K276">
        <f t="shared" si="4"/>
        <v>1</v>
      </c>
    </row>
    <row r="277" spans="1:11" x14ac:dyDescent="0.35">
      <c r="A277" s="1">
        <v>276</v>
      </c>
      <c r="B277" s="1">
        <v>56</v>
      </c>
      <c r="C277" s="1" t="s">
        <v>10</v>
      </c>
      <c r="D277" s="1">
        <v>28</v>
      </c>
      <c r="E277" s="1">
        <v>14245.4</v>
      </c>
      <c r="F277" s="1">
        <v>1</v>
      </c>
      <c r="G277" s="1">
        <v>0</v>
      </c>
      <c r="H277" s="1">
        <v>1</v>
      </c>
      <c r="I277" s="1">
        <v>113331.25</v>
      </c>
      <c r="J277" s="1">
        <v>0</v>
      </c>
      <c r="K277">
        <f t="shared" si="4"/>
        <v>1</v>
      </c>
    </row>
    <row r="278" spans="1:11" x14ac:dyDescent="0.35">
      <c r="A278" s="1">
        <v>277</v>
      </c>
      <c r="B278" s="1">
        <v>35</v>
      </c>
      <c r="C278" s="1" t="s">
        <v>10</v>
      </c>
      <c r="D278" s="1">
        <v>66</v>
      </c>
      <c r="E278" s="1">
        <v>23142.6</v>
      </c>
      <c r="F278" s="1">
        <v>1</v>
      </c>
      <c r="G278" s="1">
        <v>0</v>
      </c>
      <c r="H278" s="1">
        <v>0</v>
      </c>
      <c r="I278" s="1">
        <v>56869.03</v>
      </c>
      <c r="J278" s="1">
        <v>0</v>
      </c>
      <c r="K278">
        <f t="shared" si="4"/>
        <v>1</v>
      </c>
    </row>
    <row r="279" spans="1:11" x14ac:dyDescent="0.35">
      <c r="A279" s="1">
        <v>278</v>
      </c>
      <c r="B279" s="1">
        <v>57</v>
      </c>
      <c r="C279" s="1" t="s">
        <v>11</v>
      </c>
      <c r="D279" s="1">
        <v>35</v>
      </c>
      <c r="E279" s="1">
        <v>21926.92</v>
      </c>
      <c r="F279" s="1">
        <v>4</v>
      </c>
      <c r="G279" s="1">
        <v>0</v>
      </c>
      <c r="H279" s="1">
        <v>0</v>
      </c>
      <c r="I279" s="1">
        <v>62416.68</v>
      </c>
      <c r="J279" s="1">
        <v>0</v>
      </c>
      <c r="K279">
        <f t="shared" si="4"/>
        <v>1</v>
      </c>
    </row>
    <row r="280" spans="1:11" x14ac:dyDescent="0.35">
      <c r="A280" s="1">
        <v>279</v>
      </c>
      <c r="B280" s="1">
        <v>18</v>
      </c>
      <c r="C280" s="1" t="s">
        <v>10</v>
      </c>
      <c r="D280" s="1">
        <v>5</v>
      </c>
      <c r="E280" s="1">
        <v>10925.49</v>
      </c>
      <c r="F280" s="1">
        <v>2</v>
      </c>
      <c r="G280" s="1">
        <v>1</v>
      </c>
      <c r="H280" s="1">
        <v>0</v>
      </c>
      <c r="I280" s="1">
        <v>22698.54</v>
      </c>
      <c r="J280" s="1">
        <v>0</v>
      </c>
      <c r="K280">
        <f t="shared" si="4"/>
        <v>1</v>
      </c>
    </row>
    <row r="281" spans="1:11" x14ac:dyDescent="0.35">
      <c r="A281" s="1">
        <v>280</v>
      </c>
      <c r="B281" s="1">
        <v>28</v>
      </c>
      <c r="C281" s="1" t="s">
        <v>10</v>
      </c>
      <c r="D281" s="1">
        <v>65</v>
      </c>
      <c r="E281" s="1">
        <v>19839.84</v>
      </c>
      <c r="F281" s="1">
        <v>4</v>
      </c>
      <c r="G281" s="1">
        <v>1</v>
      </c>
      <c r="H281" s="1">
        <v>1</v>
      </c>
      <c r="I281" s="1">
        <v>118915.18</v>
      </c>
      <c r="J281" s="1">
        <v>0</v>
      </c>
      <c r="K281">
        <f t="shared" si="4"/>
        <v>1</v>
      </c>
    </row>
    <row r="282" spans="1:11" x14ac:dyDescent="0.35">
      <c r="A282" s="1">
        <v>281</v>
      </c>
      <c r="B282" s="1">
        <v>45</v>
      </c>
      <c r="C282" s="1" t="s">
        <v>10</v>
      </c>
      <c r="D282" s="1">
        <v>40</v>
      </c>
      <c r="E282" s="1">
        <v>2219.39</v>
      </c>
      <c r="F282" s="1">
        <v>3</v>
      </c>
      <c r="G282" s="1">
        <v>1</v>
      </c>
      <c r="H282" s="1">
        <v>1</v>
      </c>
      <c r="I282" s="1">
        <v>25556.15</v>
      </c>
      <c r="J282" s="1">
        <v>0</v>
      </c>
      <c r="K282">
        <f t="shared" si="4"/>
        <v>1</v>
      </c>
    </row>
    <row r="283" spans="1:11" x14ac:dyDescent="0.35">
      <c r="A283" s="1">
        <v>282</v>
      </c>
      <c r="B283" s="1">
        <v>42</v>
      </c>
      <c r="C283" s="1" t="s">
        <v>11</v>
      </c>
      <c r="D283" s="1">
        <v>56</v>
      </c>
      <c r="E283" s="1">
        <v>13891.1</v>
      </c>
      <c r="F283" s="1">
        <v>1</v>
      </c>
      <c r="G283" s="1">
        <v>0</v>
      </c>
      <c r="H283" s="1">
        <v>0</v>
      </c>
      <c r="I283" s="1">
        <v>132404.81</v>
      </c>
      <c r="J283" s="1">
        <v>0</v>
      </c>
      <c r="K283">
        <f t="shared" si="4"/>
        <v>1</v>
      </c>
    </row>
    <row r="284" spans="1:11" x14ac:dyDescent="0.35">
      <c r="A284" s="1">
        <v>283</v>
      </c>
      <c r="B284" s="1">
        <v>67</v>
      </c>
      <c r="C284" s="1" t="s">
        <v>11</v>
      </c>
      <c r="D284" s="1">
        <v>36</v>
      </c>
      <c r="E284" s="1">
        <v>40834.11</v>
      </c>
      <c r="F284" s="1">
        <v>3</v>
      </c>
      <c r="G284" s="1">
        <v>0</v>
      </c>
      <c r="H284" s="1">
        <v>0</v>
      </c>
      <c r="I284" s="1">
        <v>35425.879999999997</v>
      </c>
      <c r="J284" s="1">
        <v>0</v>
      </c>
      <c r="K284">
        <f t="shared" si="4"/>
        <v>1</v>
      </c>
    </row>
    <row r="285" spans="1:11" x14ac:dyDescent="0.35">
      <c r="A285" s="1">
        <v>284</v>
      </c>
      <c r="B285" s="1">
        <v>40</v>
      </c>
      <c r="C285" s="1" t="s">
        <v>10</v>
      </c>
      <c r="D285" s="1">
        <v>45</v>
      </c>
      <c r="E285" s="1">
        <v>14228.12</v>
      </c>
      <c r="F285" s="1">
        <v>2</v>
      </c>
      <c r="G285" s="1">
        <v>1</v>
      </c>
      <c r="H285" s="1">
        <v>1</v>
      </c>
      <c r="I285" s="1">
        <v>42343.95</v>
      </c>
      <c r="J285" s="1">
        <v>0</v>
      </c>
      <c r="K285">
        <f t="shared" si="4"/>
        <v>1</v>
      </c>
    </row>
    <row r="286" spans="1:11" x14ac:dyDescent="0.35">
      <c r="A286" s="1">
        <v>285</v>
      </c>
      <c r="B286" s="1">
        <v>48</v>
      </c>
      <c r="C286" s="1" t="s">
        <v>11</v>
      </c>
      <c r="D286" s="1">
        <v>23</v>
      </c>
      <c r="E286" s="1">
        <v>40910.33</v>
      </c>
      <c r="F286" s="1">
        <v>4</v>
      </c>
      <c r="G286" s="1">
        <v>0</v>
      </c>
      <c r="H286" s="1">
        <v>0</v>
      </c>
      <c r="I286" s="1">
        <v>81948.44</v>
      </c>
      <c r="J286" s="1">
        <v>0</v>
      </c>
      <c r="K286">
        <f t="shared" si="4"/>
        <v>1</v>
      </c>
    </row>
    <row r="287" spans="1:11" x14ac:dyDescent="0.35">
      <c r="A287" s="1">
        <v>286</v>
      </c>
      <c r="B287" s="1">
        <v>47</v>
      </c>
      <c r="C287" s="1" t="s">
        <v>10</v>
      </c>
      <c r="D287" s="1">
        <v>47</v>
      </c>
      <c r="E287" s="1">
        <v>26579.97</v>
      </c>
      <c r="F287" s="1">
        <v>4</v>
      </c>
      <c r="G287" s="1">
        <v>1</v>
      </c>
      <c r="H287" s="1">
        <v>0</v>
      </c>
      <c r="I287" s="1">
        <v>115924.45</v>
      </c>
      <c r="J287" s="1">
        <v>0</v>
      </c>
      <c r="K287">
        <f t="shared" si="4"/>
        <v>1</v>
      </c>
    </row>
    <row r="288" spans="1:11" x14ac:dyDescent="0.35">
      <c r="A288" s="1">
        <v>287</v>
      </c>
      <c r="B288" s="1">
        <v>59</v>
      </c>
      <c r="C288" s="1" t="s">
        <v>10</v>
      </c>
      <c r="D288" s="1">
        <v>31</v>
      </c>
      <c r="E288" s="1">
        <v>43993.13</v>
      </c>
      <c r="F288" s="1">
        <v>4</v>
      </c>
      <c r="G288" s="1">
        <v>0</v>
      </c>
      <c r="H288" s="1">
        <v>1</v>
      </c>
      <c r="I288" s="1">
        <v>38070.29</v>
      </c>
      <c r="J288" s="1">
        <v>0</v>
      </c>
      <c r="K288">
        <f t="shared" si="4"/>
        <v>1</v>
      </c>
    </row>
    <row r="289" spans="1:11" x14ac:dyDescent="0.35">
      <c r="A289" s="1">
        <v>288</v>
      </c>
      <c r="B289" s="1">
        <v>52</v>
      </c>
      <c r="C289" s="1" t="s">
        <v>10</v>
      </c>
      <c r="D289" s="1">
        <v>11</v>
      </c>
      <c r="E289" s="1">
        <v>28738.98</v>
      </c>
      <c r="F289" s="1">
        <v>3</v>
      </c>
      <c r="G289" s="1">
        <v>0</v>
      </c>
      <c r="H289" s="1">
        <v>0</v>
      </c>
      <c r="I289" s="1">
        <v>77209.240000000005</v>
      </c>
      <c r="J289" s="1">
        <v>0</v>
      </c>
      <c r="K289">
        <f t="shared" si="4"/>
        <v>1</v>
      </c>
    </row>
    <row r="290" spans="1:11" x14ac:dyDescent="0.35">
      <c r="A290" s="1">
        <v>289</v>
      </c>
      <c r="B290" s="1">
        <v>24</v>
      </c>
      <c r="C290" s="1" t="s">
        <v>10</v>
      </c>
      <c r="D290" s="1">
        <v>10</v>
      </c>
      <c r="E290" s="1">
        <v>1483.41</v>
      </c>
      <c r="F290" s="1">
        <v>1</v>
      </c>
      <c r="G290" s="1">
        <v>1</v>
      </c>
      <c r="H290" s="1">
        <v>0</v>
      </c>
      <c r="I290" s="1">
        <v>82770.67</v>
      </c>
      <c r="J290" s="1">
        <v>1</v>
      </c>
      <c r="K290">
        <f t="shared" si="4"/>
        <v>1</v>
      </c>
    </row>
    <row r="291" spans="1:11" x14ac:dyDescent="0.35">
      <c r="A291" s="1">
        <v>290</v>
      </c>
      <c r="B291" s="1">
        <v>33</v>
      </c>
      <c r="C291" s="1" t="s">
        <v>11</v>
      </c>
      <c r="D291" s="1">
        <v>67</v>
      </c>
      <c r="E291" s="1">
        <v>33771.01</v>
      </c>
      <c r="F291" s="1">
        <v>3</v>
      </c>
      <c r="G291" s="1">
        <v>0</v>
      </c>
      <c r="H291" s="1">
        <v>1</v>
      </c>
      <c r="I291" s="1">
        <v>47597.13</v>
      </c>
      <c r="J291" s="1">
        <v>0</v>
      </c>
      <c r="K291">
        <f t="shared" si="4"/>
        <v>1</v>
      </c>
    </row>
    <row r="292" spans="1:11" x14ac:dyDescent="0.35">
      <c r="A292" s="1">
        <v>291</v>
      </c>
      <c r="B292" s="1">
        <v>43</v>
      </c>
      <c r="C292" s="1" t="s">
        <v>11</v>
      </c>
      <c r="D292" s="1">
        <v>14</v>
      </c>
      <c r="E292" s="1">
        <v>2242.6799999999998</v>
      </c>
      <c r="F292" s="1">
        <v>3</v>
      </c>
      <c r="G292" s="1">
        <v>0</v>
      </c>
      <c r="H292" s="1">
        <v>1</v>
      </c>
      <c r="I292" s="1">
        <v>35022.589999999997</v>
      </c>
      <c r="J292" s="1">
        <v>0</v>
      </c>
      <c r="K292">
        <f t="shared" si="4"/>
        <v>1</v>
      </c>
    </row>
    <row r="293" spans="1:11" x14ac:dyDescent="0.35">
      <c r="A293" s="1">
        <v>292</v>
      </c>
      <c r="B293" s="1">
        <v>65</v>
      </c>
      <c r="C293" s="1" t="s">
        <v>11</v>
      </c>
      <c r="D293" s="1">
        <v>10</v>
      </c>
      <c r="E293" s="1">
        <v>22529.85</v>
      </c>
      <c r="F293" s="1">
        <v>2</v>
      </c>
      <c r="G293" s="1">
        <v>1</v>
      </c>
      <c r="H293" s="1">
        <v>0</v>
      </c>
      <c r="I293" s="1">
        <v>128734.72</v>
      </c>
      <c r="J293" s="1">
        <v>0</v>
      </c>
      <c r="K293">
        <f t="shared" si="4"/>
        <v>1</v>
      </c>
    </row>
    <row r="294" spans="1:11" x14ac:dyDescent="0.35">
      <c r="A294" s="1">
        <v>293</v>
      </c>
      <c r="B294" s="1">
        <v>69</v>
      </c>
      <c r="C294" s="1" t="s">
        <v>10</v>
      </c>
      <c r="D294" s="1">
        <v>1</v>
      </c>
      <c r="E294" s="1">
        <v>46471.33</v>
      </c>
      <c r="F294" s="1">
        <v>2</v>
      </c>
      <c r="G294" s="1">
        <v>1</v>
      </c>
      <c r="H294" s="1">
        <v>1</v>
      </c>
      <c r="I294" s="1">
        <v>85320.53</v>
      </c>
      <c r="J294" s="1">
        <v>0</v>
      </c>
      <c r="K294">
        <f t="shared" si="4"/>
        <v>1</v>
      </c>
    </row>
    <row r="295" spans="1:11" x14ac:dyDescent="0.35">
      <c r="A295" s="1">
        <v>294</v>
      </c>
      <c r="B295" s="1">
        <v>66</v>
      </c>
      <c r="C295" s="1" t="s">
        <v>10</v>
      </c>
      <c r="D295" s="1">
        <v>5</v>
      </c>
      <c r="E295" s="1">
        <v>8260.2000000000007</v>
      </c>
      <c r="F295" s="1">
        <v>2</v>
      </c>
      <c r="G295" s="1">
        <v>0</v>
      </c>
      <c r="H295" s="1">
        <v>0</v>
      </c>
      <c r="I295" s="1">
        <v>21869.56</v>
      </c>
      <c r="J295" s="1">
        <v>1</v>
      </c>
      <c r="K295">
        <f t="shared" si="4"/>
        <v>1</v>
      </c>
    </row>
    <row r="296" spans="1:11" x14ac:dyDescent="0.35">
      <c r="A296" s="1">
        <v>295</v>
      </c>
      <c r="B296" s="1">
        <v>19</v>
      </c>
      <c r="C296" s="1" t="s">
        <v>10</v>
      </c>
      <c r="D296" s="1">
        <v>20</v>
      </c>
      <c r="E296" s="1">
        <v>19493.62</v>
      </c>
      <c r="F296" s="1">
        <v>1</v>
      </c>
      <c r="G296" s="1">
        <v>1</v>
      </c>
      <c r="H296" s="1">
        <v>0</v>
      </c>
      <c r="I296" s="1">
        <v>124387.57</v>
      </c>
      <c r="J296" s="1">
        <v>0</v>
      </c>
      <c r="K296">
        <f t="shared" si="4"/>
        <v>1</v>
      </c>
    </row>
    <row r="297" spans="1:11" x14ac:dyDescent="0.35">
      <c r="A297" s="1">
        <v>296</v>
      </c>
      <c r="B297" s="1">
        <v>18</v>
      </c>
      <c r="C297" s="1" t="s">
        <v>11</v>
      </c>
      <c r="D297" s="1">
        <v>8</v>
      </c>
      <c r="E297" s="1">
        <v>36493.019999999997</v>
      </c>
      <c r="F297" s="1">
        <v>1</v>
      </c>
      <c r="G297" s="1">
        <v>0</v>
      </c>
      <c r="H297" s="1">
        <v>0</v>
      </c>
      <c r="I297" s="1">
        <v>147503.19</v>
      </c>
      <c r="J297" s="1">
        <v>0</v>
      </c>
      <c r="K297">
        <f t="shared" si="4"/>
        <v>1</v>
      </c>
    </row>
    <row r="298" spans="1:11" x14ac:dyDescent="0.35">
      <c r="A298" s="1">
        <v>297</v>
      </c>
      <c r="B298" s="1">
        <v>65</v>
      </c>
      <c r="C298" s="1" t="s">
        <v>10</v>
      </c>
      <c r="D298" s="1">
        <v>43</v>
      </c>
      <c r="E298" s="1">
        <v>44112.93</v>
      </c>
      <c r="F298" s="1">
        <v>2</v>
      </c>
      <c r="G298" s="1">
        <v>1</v>
      </c>
      <c r="H298" s="1">
        <v>1</v>
      </c>
      <c r="I298" s="1">
        <v>98770.41</v>
      </c>
      <c r="J298" s="1">
        <v>0</v>
      </c>
      <c r="K298">
        <f t="shared" si="4"/>
        <v>1</v>
      </c>
    </row>
    <row r="299" spans="1:11" x14ac:dyDescent="0.35">
      <c r="A299" s="1">
        <v>298</v>
      </c>
      <c r="B299" s="1">
        <v>29</v>
      </c>
      <c r="C299" s="1" t="s">
        <v>11</v>
      </c>
      <c r="D299" s="1">
        <v>1</v>
      </c>
      <c r="E299" s="1">
        <v>33547.15</v>
      </c>
      <c r="F299" s="1">
        <v>2</v>
      </c>
      <c r="G299" s="1">
        <v>0</v>
      </c>
      <c r="H299" s="1">
        <v>1</v>
      </c>
      <c r="I299" s="1">
        <v>85482.09</v>
      </c>
      <c r="J299" s="1">
        <v>0</v>
      </c>
      <c r="K299">
        <f t="shared" si="4"/>
        <v>1</v>
      </c>
    </row>
    <row r="300" spans="1:11" x14ac:dyDescent="0.35">
      <c r="A300" s="1">
        <v>299</v>
      </c>
      <c r="B300" s="1">
        <v>22</v>
      </c>
      <c r="C300" s="1" t="s">
        <v>11</v>
      </c>
      <c r="D300" s="1">
        <v>57</v>
      </c>
      <c r="E300" s="1">
        <v>12908.66</v>
      </c>
      <c r="F300" s="1">
        <v>1</v>
      </c>
      <c r="G300" s="1">
        <v>0</v>
      </c>
      <c r="H300" s="1">
        <v>0</v>
      </c>
      <c r="I300" s="1">
        <v>134194.06</v>
      </c>
      <c r="J300" s="1">
        <v>0</v>
      </c>
      <c r="K300">
        <f t="shared" si="4"/>
        <v>1</v>
      </c>
    </row>
    <row r="301" spans="1:11" x14ac:dyDescent="0.35">
      <c r="A301" s="1">
        <v>300</v>
      </c>
      <c r="B301" s="1">
        <v>54</v>
      </c>
      <c r="C301" s="1" t="s">
        <v>11</v>
      </c>
      <c r="D301" s="1">
        <v>64</v>
      </c>
      <c r="E301" s="1">
        <v>33730.39</v>
      </c>
      <c r="F301" s="1">
        <v>4</v>
      </c>
      <c r="G301" s="1">
        <v>1</v>
      </c>
      <c r="H301" s="1">
        <v>0</v>
      </c>
      <c r="I301" s="1">
        <v>143827.18</v>
      </c>
      <c r="J301" s="1">
        <v>0</v>
      </c>
      <c r="K301">
        <f t="shared" si="4"/>
        <v>1</v>
      </c>
    </row>
    <row r="302" spans="1:11" x14ac:dyDescent="0.35">
      <c r="A302" s="1">
        <v>301</v>
      </c>
      <c r="B302" s="1">
        <v>49</v>
      </c>
      <c r="C302" s="1" t="s">
        <v>11</v>
      </c>
      <c r="D302" s="1">
        <v>28</v>
      </c>
      <c r="E302" s="1">
        <v>14836.38</v>
      </c>
      <c r="F302" s="1">
        <v>1</v>
      </c>
      <c r="G302" s="1">
        <v>0</v>
      </c>
      <c r="H302" s="1">
        <v>1</v>
      </c>
      <c r="I302" s="1">
        <v>118089.8</v>
      </c>
      <c r="J302" s="1">
        <v>0</v>
      </c>
      <c r="K302">
        <f t="shared" si="4"/>
        <v>1</v>
      </c>
    </row>
    <row r="303" spans="1:11" x14ac:dyDescent="0.35">
      <c r="A303" s="1">
        <v>302</v>
      </c>
      <c r="B303" s="1">
        <v>26</v>
      </c>
      <c r="C303" s="1" t="s">
        <v>11</v>
      </c>
      <c r="D303" s="1">
        <v>37</v>
      </c>
      <c r="E303" s="1">
        <v>35921.46</v>
      </c>
      <c r="F303" s="1">
        <v>1</v>
      </c>
      <c r="G303" s="1">
        <v>0</v>
      </c>
      <c r="H303" s="1">
        <v>1</v>
      </c>
      <c r="I303" s="1">
        <v>77908.88</v>
      </c>
      <c r="J303" s="1">
        <v>0</v>
      </c>
      <c r="K303">
        <f t="shared" si="4"/>
        <v>1</v>
      </c>
    </row>
    <row r="304" spans="1:11" x14ac:dyDescent="0.35">
      <c r="A304" s="1">
        <v>303</v>
      </c>
      <c r="B304" s="1">
        <v>58</v>
      </c>
      <c r="C304" s="1" t="s">
        <v>11</v>
      </c>
      <c r="D304" s="1">
        <v>47</v>
      </c>
      <c r="E304" s="1">
        <v>47701.66</v>
      </c>
      <c r="F304" s="1">
        <v>1</v>
      </c>
      <c r="G304" s="1">
        <v>1</v>
      </c>
      <c r="H304" s="1">
        <v>1</v>
      </c>
      <c r="I304" s="1">
        <v>96988.78</v>
      </c>
      <c r="J304" s="1">
        <v>0</v>
      </c>
      <c r="K304">
        <f t="shared" si="4"/>
        <v>1</v>
      </c>
    </row>
    <row r="305" spans="1:11" x14ac:dyDescent="0.35">
      <c r="A305" s="1">
        <v>304</v>
      </c>
      <c r="B305" s="1">
        <v>52</v>
      </c>
      <c r="C305" s="1" t="s">
        <v>10</v>
      </c>
      <c r="D305" s="1">
        <v>37</v>
      </c>
      <c r="E305" s="1">
        <v>36069.67</v>
      </c>
      <c r="F305" s="1">
        <v>2</v>
      </c>
      <c r="G305" s="1">
        <v>1</v>
      </c>
      <c r="H305" s="1">
        <v>0</v>
      </c>
      <c r="I305" s="1">
        <v>111121.60000000001</v>
      </c>
      <c r="J305" s="1">
        <v>0</v>
      </c>
      <c r="K305">
        <f t="shared" si="4"/>
        <v>1</v>
      </c>
    </row>
    <row r="306" spans="1:11" x14ac:dyDescent="0.35">
      <c r="A306" s="1">
        <v>305</v>
      </c>
      <c r="B306" s="1">
        <v>36</v>
      </c>
      <c r="C306" s="1" t="s">
        <v>10</v>
      </c>
      <c r="D306" s="1">
        <v>49</v>
      </c>
      <c r="E306" s="1">
        <v>43144.03</v>
      </c>
      <c r="F306" s="1">
        <v>4</v>
      </c>
      <c r="G306" s="1">
        <v>0</v>
      </c>
      <c r="H306" s="1">
        <v>1</v>
      </c>
      <c r="I306" s="1">
        <v>45255.56</v>
      </c>
      <c r="J306" s="1">
        <v>0</v>
      </c>
      <c r="K306">
        <f t="shared" si="4"/>
        <v>1</v>
      </c>
    </row>
    <row r="307" spans="1:11" x14ac:dyDescent="0.35">
      <c r="A307" s="1">
        <v>306</v>
      </c>
      <c r="B307" s="1">
        <v>65</v>
      </c>
      <c r="C307" s="1" t="s">
        <v>11</v>
      </c>
      <c r="D307" s="1">
        <v>44</v>
      </c>
      <c r="E307" s="1">
        <v>105.19</v>
      </c>
      <c r="F307" s="1">
        <v>1</v>
      </c>
      <c r="G307" s="1">
        <v>1</v>
      </c>
      <c r="H307" s="1">
        <v>1</v>
      </c>
      <c r="I307" s="1">
        <v>78136.13</v>
      </c>
      <c r="J307" s="1">
        <v>0</v>
      </c>
      <c r="K307">
        <f t="shared" si="4"/>
        <v>1</v>
      </c>
    </row>
    <row r="308" spans="1:11" x14ac:dyDescent="0.35">
      <c r="A308" s="1">
        <v>307</v>
      </c>
      <c r="B308" s="1">
        <v>33</v>
      </c>
      <c r="C308" s="1" t="s">
        <v>11</v>
      </c>
      <c r="D308" s="1">
        <v>56</v>
      </c>
      <c r="E308" s="1">
        <v>35878.61</v>
      </c>
      <c r="F308" s="1">
        <v>2</v>
      </c>
      <c r="G308" s="1">
        <v>1</v>
      </c>
      <c r="H308" s="1">
        <v>0</v>
      </c>
      <c r="I308" s="1">
        <v>127876.76</v>
      </c>
      <c r="J308" s="1">
        <v>0</v>
      </c>
      <c r="K308">
        <f t="shared" si="4"/>
        <v>1</v>
      </c>
    </row>
    <row r="309" spans="1:11" x14ac:dyDescent="0.35">
      <c r="A309" s="1">
        <v>308</v>
      </c>
      <c r="B309" s="1">
        <v>20</v>
      </c>
      <c r="C309" s="1" t="s">
        <v>10</v>
      </c>
      <c r="D309" s="1">
        <v>28</v>
      </c>
      <c r="E309" s="1">
        <v>41479.379999999997</v>
      </c>
      <c r="F309" s="1">
        <v>3</v>
      </c>
      <c r="G309" s="1">
        <v>0</v>
      </c>
      <c r="H309" s="1">
        <v>0</v>
      </c>
      <c r="I309" s="1">
        <v>105114.3</v>
      </c>
      <c r="J309" s="1">
        <v>0</v>
      </c>
      <c r="K309">
        <f t="shared" si="4"/>
        <v>1</v>
      </c>
    </row>
    <row r="310" spans="1:11" x14ac:dyDescent="0.35">
      <c r="A310" s="1">
        <v>309</v>
      </c>
      <c r="B310" s="1">
        <v>37</v>
      </c>
      <c r="C310" s="1" t="s">
        <v>11</v>
      </c>
      <c r="D310" s="1">
        <v>6</v>
      </c>
      <c r="E310" s="1">
        <v>2027.94</v>
      </c>
      <c r="F310" s="1">
        <v>3</v>
      </c>
      <c r="G310" s="1">
        <v>0</v>
      </c>
      <c r="H310" s="1">
        <v>0</v>
      </c>
      <c r="I310" s="1">
        <v>73456.53</v>
      </c>
      <c r="J310" s="1">
        <v>1</v>
      </c>
      <c r="K310">
        <f t="shared" si="4"/>
        <v>1</v>
      </c>
    </row>
    <row r="311" spans="1:11" x14ac:dyDescent="0.35">
      <c r="A311" s="1">
        <v>310</v>
      </c>
      <c r="B311" s="1">
        <v>41</v>
      </c>
      <c r="C311" s="1" t="s">
        <v>11</v>
      </c>
      <c r="D311" s="1">
        <v>61</v>
      </c>
      <c r="E311" s="1">
        <v>43579.89</v>
      </c>
      <c r="F311" s="1">
        <v>1</v>
      </c>
      <c r="G311" s="1">
        <v>1</v>
      </c>
      <c r="H311" s="1">
        <v>1</v>
      </c>
      <c r="I311" s="1">
        <v>106237.13</v>
      </c>
      <c r="J311" s="1">
        <v>0</v>
      </c>
      <c r="K311">
        <f t="shared" si="4"/>
        <v>1</v>
      </c>
    </row>
    <row r="312" spans="1:11" x14ac:dyDescent="0.35">
      <c r="A312" s="1">
        <v>311</v>
      </c>
      <c r="B312" s="1">
        <v>50</v>
      </c>
      <c r="C312" s="1" t="s">
        <v>10</v>
      </c>
      <c r="D312" s="1">
        <v>20</v>
      </c>
      <c r="E312" s="1">
        <v>12834.71</v>
      </c>
      <c r="F312" s="1">
        <v>3</v>
      </c>
      <c r="G312" s="1">
        <v>1</v>
      </c>
      <c r="H312" s="1">
        <v>0</v>
      </c>
      <c r="I312" s="1">
        <v>35368.910000000003</v>
      </c>
      <c r="J312" s="1">
        <v>0</v>
      </c>
      <c r="K312">
        <f t="shared" si="4"/>
        <v>1</v>
      </c>
    </row>
    <row r="313" spans="1:11" x14ac:dyDescent="0.35">
      <c r="A313" s="1">
        <v>312</v>
      </c>
      <c r="B313" s="1">
        <v>41</v>
      </c>
      <c r="C313" s="1" t="s">
        <v>11</v>
      </c>
      <c r="D313" s="1">
        <v>2</v>
      </c>
      <c r="E313" s="1">
        <v>33264.61</v>
      </c>
      <c r="F313" s="1">
        <v>4</v>
      </c>
      <c r="G313" s="1">
        <v>1</v>
      </c>
      <c r="H313" s="1">
        <v>0</v>
      </c>
      <c r="I313" s="1">
        <v>72194.69</v>
      </c>
      <c r="J313" s="1">
        <v>0</v>
      </c>
      <c r="K313">
        <f t="shared" si="4"/>
        <v>1</v>
      </c>
    </row>
    <row r="314" spans="1:11" x14ac:dyDescent="0.35">
      <c r="A314" s="1">
        <v>313</v>
      </c>
      <c r="B314" s="1">
        <v>69</v>
      </c>
      <c r="C314" s="1" t="s">
        <v>11</v>
      </c>
      <c r="D314" s="1">
        <v>37</v>
      </c>
      <c r="E314" s="1">
        <v>40017.74</v>
      </c>
      <c r="F314" s="1">
        <v>3</v>
      </c>
      <c r="G314" s="1">
        <v>0</v>
      </c>
      <c r="H314" s="1">
        <v>0</v>
      </c>
      <c r="I314" s="1">
        <v>123106.71</v>
      </c>
      <c r="J314" s="1">
        <v>0</v>
      </c>
      <c r="K314">
        <f t="shared" si="4"/>
        <v>1</v>
      </c>
    </row>
    <row r="315" spans="1:11" x14ac:dyDescent="0.35">
      <c r="A315" s="1">
        <v>314</v>
      </c>
      <c r="B315" s="1">
        <v>28</v>
      </c>
      <c r="C315" s="1" t="s">
        <v>11</v>
      </c>
      <c r="D315" s="1">
        <v>20</v>
      </c>
      <c r="E315" s="1">
        <v>33133.230000000003</v>
      </c>
      <c r="F315" s="1">
        <v>3</v>
      </c>
      <c r="G315" s="1">
        <v>0</v>
      </c>
      <c r="H315" s="1">
        <v>0</v>
      </c>
      <c r="I315" s="1">
        <v>48666.14</v>
      </c>
      <c r="J315" s="1">
        <v>0</v>
      </c>
      <c r="K315">
        <f t="shared" si="4"/>
        <v>1</v>
      </c>
    </row>
    <row r="316" spans="1:11" x14ac:dyDescent="0.35">
      <c r="A316" s="1">
        <v>315</v>
      </c>
      <c r="B316" s="1">
        <v>66</v>
      </c>
      <c r="C316" s="1" t="s">
        <v>10</v>
      </c>
      <c r="D316" s="1">
        <v>26</v>
      </c>
      <c r="E316" s="1">
        <v>4614.24</v>
      </c>
      <c r="F316" s="1">
        <v>4</v>
      </c>
      <c r="G316" s="1">
        <v>0</v>
      </c>
      <c r="H316" s="1">
        <v>1</v>
      </c>
      <c r="I316" s="1">
        <v>44175</v>
      </c>
      <c r="J316" s="1">
        <v>0</v>
      </c>
      <c r="K316">
        <f t="shared" si="4"/>
        <v>1</v>
      </c>
    </row>
    <row r="317" spans="1:11" x14ac:dyDescent="0.35">
      <c r="A317" s="1">
        <v>316</v>
      </c>
      <c r="B317" s="1">
        <v>25</v>
      </c>
      <c r="C317" s="1" t="s">
        <v>10</v>
      </c>
      <c r="D317" s="1">
        <v>29</v>
      </c>
      <c r="E317" s="1">
        <v>29816.080000000002</v>
      </c>
      <c r="F317" s="1">
        <v>1</v>
      </c>
      <c r="G317" s="1">
        <v>0</v>
      </c>
      <c r="H317" s="1">
        <v>0</v>
      </c>
      <c r="I317" s="1">
        <v>143606.43</v>
      </c>
      <c r="J317" s="1">
        <v>0</v>
      </c>
      <c r="K317">
        <f t="shared" si="4"/>
        <v>1</v>
      </c>
    </row>
    <row r="318" spans="1:11" x14ac:dyDescent="0.35">
      <c r="A318" s="1">
        <v>317</v>
      </c>
      <c r="B318" s="1">
        <v>53</v>
      </c>
      <c r="C318" s="1" t="s">
        <v>10</v>
      </c>
      <c r="D318" s="1">
        <v>1</v>
      </c>
      <c r="E318" s="1">
        <v>27479.18</v>
      </c>
      <c r="F318" s="1">
        <v>1</v>
      </c>
      <c r="G318" s="1">
        <v>0</v>
      </c>
      <c r="H318" s="1">
        <v>1</v>
      </c>
      <c r="I318" s="1">
        <v>47286.69</v>
      </c>
      <c r="J318" s="1">
        <v>0</v>
      </c>
      <c r="K318">
        <f t="shared" si="4"/>
        <v>1</v>
      </c>
    </row>
    <row r="319" spans="1:11" x14ac:dyDescent="0.35">
      <c r="A319" s="1">
        <v>318</v>
      </c>
      <c r="B319" s="1">
        <v>55</v>
      </c>
      <c r="C319" s="1" t="s">
        <v>11</v>
      </c>
      <c r="D319" s="1">
        <v>35</v>
      </c>
      <c r="E319" s="1">
        <v>45016.06</v>
      </c>
      <c r="F319" s="1">
        <v>4</v>
      </c>
      <c r="G319" s="1">
        <v>0</v>
      </c>
      <c r="H319" s="1">
        <v>1</v>
      </c>
      <c r="I319" s="1">
        <v>53919.42</v>
      </c>
      <c r="J319" s="1">
        <v>0</v>
      </c>
      <c r="K319">
        <f t="shared" si="4"/>
        <v>1</v>
      </c>
    </row>
    <row r="320" spans="1:11" x14ac:dyDescent="0.35">
      <c r="A320" s="1">
        <v>319</v>
      </c>
      <c r="B320" s="1">
        <v>57</v>
      </c>
      <c r="C320" s="1" t="s">
        <v>11</v>
      </c>
      <c r="D320" s="1">
        <v>70</v>
      </c>
      <c r="E320" s="1">
        <v>20211.990000000002</v>
      </c>
      <c r="F320" s="1">
        <v>4</v>
      </c>
      <c r="G320" s="1">
        <v>0</v>
      </c>
      <c r="H320" s="1">
        <v>1</v>
      </c>
      <c r="I320" s="1">
        <v>146050.07</v>
      </c>
      <c r="J320" s="1">
        <v>0</v>
      </c>
      <c r="K320">
        <f t="shared" si="4"/>
        <v>1</v>
      </c>
    </row>
    <row r="321" spans="1:11" x14ac:dyDescent="0.35">
      <c r="A321" s="1">
        <v>320</v>
      </c>
      <c r="B321" s="1">
        <v>37</v>
      </c>
      <c r="C321" s="1" t="s">
        <v>10</v>
      </c>
      <c r="D321" s="1">
        <v>59</v>
      </c>
      <c r="E321" s="1">
        <v>16054.05</v>
      </c>
      <c r="F321" s="1">
        <v>4</v>
      </c>
      <c r="G321" s="1">
        <v>1</v>
      </c>
      <c r="H321" s="1">
        <v>0</v>
      </c>
      <c r="I321" s="1">
        <v>115512.11</v>
      </c>
      <c r="J321" s="1">
        <v>0</v>
      </c>
      <c r="K321">
        <f t="shared" si="4"/>
        <v>1</v>
      </c>
    </row>
    <row r="322" spans="1:11" x14ac:dyDescent="0.35">
      <c r="A322" s="1">
        <v>321</v>
      </c>
      <c r="B322" s="1">
        <v>52</v>
      </c>
      <c r="C322" s="1" t="s">
        <v>11</v>
      </c>
      <c r="D322" s="1">
        <v>69</v>
      </c>
      <c r="E322" s="1">
        <v>37492.54</v>
      </c>
      <c r="F322" s="1">
        <v>3</v>
      </c>
      <c r="G322" s="1">
        <v>1</v>
      </c>
      <c r="H322" s="1">
        <v>1</v>
      </c>
      <c r="I322" s="1">
        <v>110947.55</v>
      </c>
      <c r="J322" s="1">
        <v>0</v>
      </c>
      <c r="K322">
        <f t="shared" si="4"/>
        <v>1</v>
      </c>
    </row>
    <row r="323" spans="1:11" x14ac:dyDescent="0.35">
      <c r="A323" s="1">
        <v>322</v>
      </c>
      <c r="B323" s="1">
        <v>65</v>
      </c>
      <c r="C323" s="1" t="s">
        <v>11</v>
      </c>
      <c r="D323" s="1">
        <v>33</v>
      </c>
      <c r="E323" s="1">
        <v>20633.77</v>
      </c>
      <c r="F323" s="1">
        <v>4</v>
      </c>
      <c r="G323" s="1">
        <v>0</v>
      </c>
      <c r="H323" s="1">
        <v>0</v>
      </c>
      <c r="I323" s="1">
        <v>130880.43</v>
      </c>
      <c r="J323" s="1">
        <v>0</v>
      </c>
      <c r="K323">
        <f t="shared" ref="K323:K386" si="5">COUNTIF($A$2:$A$1001,A323)</f>
        <v>1</v>
      </c>
    </row>
    <row r="324" spans="1:11" x14ac:dyDescent="0.35">
      <c r="A324" s="1">
        <v>323</v>
      </c>
      <c r="B324" s="1">
        <v>42</v>
      </c>
      <c r="C324" s="1" t="s">
        <v>11</v>
      </c>
      <c r="D324" s="1">
        <v>51</v>
      </c>
      <c r="E324" s="1">
        <v>32304.81</v>
      </c>
      <c r="F324" s="1">
        <v>2</v>
      </c>
      <c r="G324" s="1">
        <v>0</v>
      </c>
      <c r="H324" s="1">
        <v>0</v>
      </c>
      <c r="I324" s="1">
        <v>35057</v>
      </c>
      <c r="J324" s="1">
        <v>0</v>
      </c>
      <c r="K324">
        <f t="shared" si="5"/>
        <v>1</v>
      </c>
    </row>
    <row r="325" spans="1:11" x14ac:dyDescent="0.35">
      <c r="A325" s="1">
        <v>324</v>
      </c>
      <c r="B325" s="1">
        <v>52</v>
      </c>
      <c r="C325" s="1" t="s">
        <v>11</v>
      </c>
      <c r="D325" s="1">
        <v>12</v>
      </c>
      <c r="E325" s="1">
        <v>32322.5</v>
      </c>
      <c r="F325" s="1">
        <v>3</v>
      </c>
      <c r="G325" s="1">
        <v>0</v>
      </c>
      <c r="H325" s="1">
        <v>0</v>
      </c>
      <c r="I325" s="1">
        <v>111774.31</v>
      </c>
      <c r="J325" s="1">
        <v>0</v>
      </c>
      <c r="K325">
        <f t="shared" si="5"/>
        <v>1</v>
      </c>
    </row>
    <row r="326" spans="1:11" x14ac:dyDescent="0.35">
      <c r="A326" s="1">
        <v>325</v>
      </c>
      <c r="B326" s="1">
        <v>42</v>
      </c>
      <c r="C326" s="1" t="s">
        <v>11</v>
      </c>
      <c r="D326" s="1">
        <v>20</v>
      </c>
      <c r="E326" s="1">
        <v>44401.95</v>
      </c>
      <c r="F326" s="1">
        <v>1</v>
      </c>
      <c r="G326" s="1">
        <v>1</v>
      </c>
      <c r="H326" s="1">
        <v>1</v>
      </c>
      <c r="I326" s="1">
        <v>85479.52</v>
      </c>
      <c r="J326" s="1">
        <v>0</v>
      </c>
      <c r="K326">
        <f t="shared" si="5"/>
        <v>1</v>
      </c>
    </row>
    <row r="327" spans="1:11" x14ac:dyDescent="0.35">
      <c r="A327" s="1">
        <v>326</v>
      </c>
      <c r="B327" s="1">
        <v>46</v>
      </c>
      <c r="C327" s="1" t="s">
        <v>10</v>
      </c>
      <c r="D327" s="1">
        <v>53</v>
      </c>
      <c r="E327" s="1">
        <v>29934.62</v>
      </c>
      <c r="F327" s="1">
        <v>1</v>
      </c>
      <c r="G327" s="1">
        <v>0</v>
      </c>
      <c r="H327" s="1">
        <v>0</v>
      </c>
      <c r="I327" s="1">
        <v>127789.58</v>
      </c>
      <c r="J327" s="1">
        <v>0</v>
      </c>
      <c r="K327">
        <f t="shared" si="5"/>
        <v>1</v>
      </c>
    </row>
    <row r="328" spans="1:11" x14ac:dyDescent="0.35">
      <c r="A328" s="1">
        <v>327</v>
      </c>
      <c r="B328" s="1">
        <v>35</v>
      </c>
      <c r="C328" s="1" t="s">
        <v>11</v>
      </c>
      <c r="D328" s="1">
        <v>43</v>
      </c>
      <c r="E328" s="1">
        <v>25107.68</v>
      </c>
      <c r="F328" s="1">
        <v>1</v>
      </c>
      <c r="G328" s="1">
        <v>1</v>
      </c>
      <c r="H328" s="1">
        <v>0</v>
      </c>
      <c r="I328" s="1">
        <v>86058.42</v>
      </c>
      <c r="J328" s="1">
        <v>0</v>
      </c>
      <c r="K328">
        <f t="shared" si="5"/>
        <v>1</v>
      </c>
    </row>
    <row r="329" spans="1:11" x14ac:dyDescent="0.35">
      <c r="A329" s="1">
        <v>328</v>
      </c>
      <c r="B329" s="1">
        <v>63</v>
      </c>
      <c r="C329" s="1" t="s">
        <v>10</v>
      </c>
      <c r="D329" s="1">
        <v>50</v>
      </c>
      <c r="E329" s="1">
        <v>6943.57</v>
      </c>
      <c r="F329" s="1">
        <v>3</v>
      </c>
      <c r="G329" s="1">
        <v>1</v>
      </c>
      <c r="H329" s="1">
        <v>0</v>
      </c>
      <c r="I329" s="1">
        <v>100631.38</v>
      </c>
      <c r="J329" s="1">
        <v>0</v>
      </c>
      <c r="K329">
        <f t="shared" si="5"/>
        <v>1</v>
      </c>
    </row>
    <row r="330" spans="1:11" x14ac:dyDescent="0.35">
      <c r="A330" s="1">
        <v>329</v>
      </c>
      <c r="B330" s="1">
        <v>35</v>
      </c>
      <c r="C330" s="1" t="s">
        <v>11</v>
      </c>
      <c r="D330" s="1">
        <v>29</v>
      </c>
      <c r="E330" s="1">
        <v>5786.88</v>
      </c>
      <c r="F330" s="1">
        <v>2</v>
      </c>
      <c r="G330" s="1">
        <v>1</v>
      </c>
      <c r="H330" s="1">
        <v>1</v>
      </c>
      <c r="I330" s="1">
        <v>82106.48</v>
      </c>
      <c r="J330" s="1">
        <v>0</v>
      </c>
      <c r="K330">
        <f t="shared" si="5"/>
        <v>1</v>
      </c>
    </row>
    <row r="331" spans="1:11" x14ac:dyDescent="0.35">
      <c r="A331" s="1">
        <v>330</v>
      </c>
      <c r="B331" s="1">
        <v>19</v>
      </c>
      <c r="C331" s="1" t="s">
        <v>10</v>
      </c>
      <c r="D331" s="1">
        <v>57</v>
      </c>
      <c r="E331" s="1">
        <v>7716.08</v>
      </c>
      <c r="F331" s="1">
        <v>4</v>
      </c>
      <c r="G331" s="1">
        <v>1</v>
      </c>
      <c r="H331" s="1">
        <v>1</v>
      </c>
      <c r="I331" s="1">
        <v>82160.66</v>
      </c>
      <c r="J331" s="1">
        <v>0</v>
      </c>
      <c r="K331">
        <f t="shared" si="5"/>
        <v>1</v>
      </c>
    </row>
    <row r="332" spans="1:11" x14ac:dyDescent="0.35">
      <c r="A332" s="1">
        <v>331</v>
      </c>
      <c r="B332" s="1">
        <v>52</v>
      </c>
      <c r="C332" s="1" t="s">
        <v>11</v>
      </c>
      <c r="D332" s="1">
        <v>39</v>
      </c>
      <c r="E332" s="1">
        <v>8592.42</v>
      </c>
      <c r="F332" s="1">
        <v>4</v>
      </c>
      <c r="G332" s="1">
        <v>1</v>
      </c>
      <c r="H332" s="1">
        <v>1</v>
      </c>
      <c r="I332" s="1">
        <v>119836.1</v>
      </c>
      <c r="J332" s="1">
        <v>0</v>
      </c>
      <c r="K332">
        <f t="shared" si="5"/>
        <v>1</v>
      </c>
    </row>
    <row r="333" spans="1:11" x14ac:dyDescent="0.35">
      <c r="A333" s="1">
        <v>332</v>
      </c>
      <c r="B333" s="1">
        <v>33</v>
      </c>
      <c r="C333" s="1" t="s">
        <v>10</v>
      </c>
      <c r="D333" s="1">
        <v>56</v>
      </c>
      <c r="E333" s="1">
        <v>31893.85</v>
      </c>
      <c r="F333" s="1">
        <v>1</v>
      </c>
      <c r="G333" s="1">
        <v>0</v>
      </c>
      <c r="H333" s="1">
        <v>0</v>
      </c>
      <c r="I333" s="1">
        <v>101713.63</v>
      </c>
      <c r="J333" s="1">
        <v>0</v>
      </c>
      <c r="K333">
        <f t="shared" si="5"/>
        <v>1</v>
      </c>
    </row>
    <row r="334" spans="1:11" x14ac:dyDescent="0.35">
      <c r="A334" s="1">
        <v>333</v>
      </c>
      <c r="B334" s="1">
        <v>58</v>
      </c>
      <c r="C334" s="1" t="s">
        <v>11</v>
      </c>
      <c r="D334" s="1">
        <v>43</v>
      </c>
      <c r="E334" s="1">
        <v>37049.06</v>
      </c>
      <c r="F334" s="1">
        <v>1</v>
      </c>
      <c r="G334" s="1">
        <v>0</v>
      </c>
      <c r="H334" s="1">
        <v>1</v>
      </c>
      <c r="I334" s="1">
        <v>102324.22</v>
      </c>
      <c r="J334" s="1">
        <v>0</v>
      </c>
      <c r="K334">
        <f t="shared" si="5"/>
        <v>1</v>
      </c>
    </row>
    <row r="335" spans="1:11" x14ac:dyDescent="0.35">
      <c r="A335" s="1">
        <v>334</v>
      </c>
      <c r="B335" s="1">
        <v>53</v>
      </c>
      <c r="C335" s="1" t="s">
        <v>10</v>
      </c>
      <c r="D335" s="1">
        <v>50</v>
      </c>
      <c r="E335" s="1">
        <v>26499.58</v>
      </c>
      <c r="F335" s="1">
        <v>3</v>
      </c>
      <c r="G335" s="1">
        <v>1</v>
      </c>
      <c r="H335" s="1">
        <v>0</v>
      </c>
      <c r="I335" s="1">
        <v>78536.72</v>
      </c>
      <c r="J335" s="1">
        <v>0</v>
      </c>
      <c r="K335">
        <f t="shared" si="5"/>
        <v>1</v>
      </c>
    </row>
    <row r="336" spans="1:11" x14ac:dyDescent="0.35">
      <c r="A336" s="1">
        <v>335</v>
      </c>
      <c r="B336" s="1">
        <v>50</v>
      </c>
      <c r="C336" s="1" t="s">
        <v>11</v>
      </c>
      <c r="D336" s="1">
        <v>23</v>
      </c>
      <c r="E336" s="1">
        <v>41450.89</v>
      </c>
      <c r="F336" s="1">
        <v>2</v>
      </c>
      <c r="G336" s="1">
        <v>0</v>
      </c>
      <c r="H336" s="1">
        <v>0</v>
      </c>
      <c r="I336" s="1">
        <v>89044.23</v>
      </c>
      <c r="J336" s="1">
        <v>0</v>
      </c>
      <c r="K336">
        <f t="shared" si="5"/>
        <v>1</v>
      </c>
    </row>
    <row r="337" spans="1:11" x14ac:dyDescent="0.35">
      <c r="A337" s="1">
        <v>336</v>
      </c>
      <c r="B337" s="1">
        <v>21</v>
      </c>
      <c r="C337" s="1" t="s">
        <v>10</v>
      </c>
      <c r="D337" s="1">
        <v>44</v>
      </c>
      <c r="E337" s="1">
        <v>49563.16</v>
      </c>
      <c r="F337" s="1">
        <v>4</v>
      </c>
      <c r="G337" s="1">
        <v>1</v>
      </c>
      <c r="H337" s="1">
        <v>1</v>
      </c>
      <c r="I337" s="1">
        <v>116943.3</v>
      </c>
      <c r="J337" s="1">
        <v>0</v>
      </c>
      <c r="K337">
        <f t="shared" si="5"/>
        <v>1</v>
      </c>
    </row>
    <row r="338" spans="1:11" x14ac:dyDescent="0.35">
      <c r="A338" s="1">
        <v>337</v>
      </c>
      <c r="B338" s="1">
        <v>50</v>
      </c>
      <c r="C338" s="1" t="s">
        <v>11</v>
      </c>
      <c r="D338" s="1">
        <v>38</v>
      </c>
      <c r="E338" s="1">
        <v>41000.629999999997</v>
      </c>
      <c r="F338" s="1">
        <v>3</v>
      </c>
      <c r="G338" s="1">
        <v>1</v>
      </c>
      <c r="H338" s="1">
        <v>0</v>
      </c>
      <c r="I338" s="1">
        <v>127372.32</v>
      </c>
      <c r="J338" s="1">
        <v>0</v>
      </c>
      <c r="K338">
        <f t="shared" si="5"/>
        <v>1</v>
      </c>
    </row>
    <row r="339" spans="1:11" x14ac:dyDescent="0.35">
      <c r="A339" s="1">
        <v>338</v>
      </c>
      <c r="B339" s="1">
        <v>31</v>
      </c>
      <c r="C339" s="1" t="s">
        <v>10</v>
      </c>
      <c r="D339" s="1">
        <v>23</v>
      </c>
      <c r="E339" s="1">
        <v>34744.120000000003</v>
      </c>
      <c r="F339" s="1">
        <v>4</v>
      </c>
      <c r="G339" s="1">
        <v>0</v>
      </c>
      <c r="H339" s="1">
        <v>1</v>
      </c>
      <c r="I339" s="1">
        <v>110552.98</v>
      </c>
      <c r="J339" s="1">
        <v>0</v>
      </c>
      <c r="K339">
        <f t="shared" si="5"/>
        <v>1</v>
      </c>
    </row>
    <row r="340" spans="1:11" x14ac:dyDescent="0.35">
      <c r="A340" s="1">
        <v>339</v>
      </c>
      <c r="B340" s="1">
        <v>38</v>
      </c>
      <c r="C340" s="1" t="s">
        <v>10</v>
      </c>
      <c r="D340" s="1">
        <v>45</v>
      </c>
      <c r="E340" s="1">
        <v>26624.63</v>
      </c>
      <c r="F340" s="1">
        <v>1</v>
      </c>
      <c r="G340" s="1">
        <v>0</v>
      </c>
      <c r="H340" s="1">
        <v>0</v>
      </c>
      <c r="I340" s="1">
        <v>140129.49</v>
      </c>
      <c r="J340" s="1">
        <v>0</v>
      </c>
      <c r="K340">
        <f t="shared" si="5"/>
        <v>1</v>
      </c>
    </row>
    <row r="341" spans="1:11" x14ac:dyDescent="0.35">
      <c r="A341" s="1">
        <v>340</v>
      </c>
      <c r="B341" s="1">
        <v>65</v>
      </c>
      <c r="C341" s="1" t="s">
        <v>11</v>
      </c>
      <c r="D341" s="1">
        <v>52</v>
      </c>
      <c r="E341" s="1">
        <v>22442.65</v>
      </c>
      <c r="F341" s="1">
        <v>4</v>
      </c>
      <c r="G341" s="1">
        <v>0</v>
      </c>
      <c r="H341" s="1">
        <v>1</v>
      </c>
      <c r="I341" s="1">
        <v>126642.13</v>
      </c>
      <c r="J341" s="1">
        <v>0</v>
      </c>
      <c r="K341">
        <f t="shared" si="5"/>
        <v>1</v>
      </c>
    </row>
    <row r="342" spans="1:11" x14ac:dyDescent="0.35">
      <c r="A342" s="1">
        <v>341</v>
      </c>
      <c r="B342" s="1">
        <v>37</v>
      </c>
      <c r="C342" s="1" t="s">
        <v>11</v>
      </c>
      <c r="D342" s="1">
        <v>50</v>
      </c>
      <c r="E342" s="1">
        <v>4219.62</v>
      </c>
      <c r="F342" s="1">
        <v>2</v>
      </c>
      <c r="G342" s="1">
        <v>0</v>
      </c>
      <c r="H342" s="1">
        <v>0</v>
      </c>
      <c r="I342" s="1">
        <v>93042.29</v>
      </c>
      <c r="J342" s="1">
        <v>0</v>
      </c>
      <c r="K342">
        <f t="shared" si="5"/>
        <v>1</v>
      </c>
    </row>
    <row r="343" spans="1:11" x14ac:dyDescent="0.35">
      <c r="A343" s="1">
        <v>342</v>
      </c>
      <c r="B343" s="1">
        <v>25</v>
      </c>
      <c r="C343" s="1" t="s">
        <v>10</v>
      </c>
      <c r="D343" s="1">
        <v>8</v>
      </c>
      <c r="E343" s="1">
        <v>19968.439999999999</v>
      </c>
      <c r="F343" s="1">
        <v>2</v>
      </c>
      <c r="G343" s="1">
        <v>0</v>
      </c>
      <c r="H343" s="1">
        <v>0</v>
      </c>
      <c r="I343" s="1">
        <v>107282.79</v>
      </c>
      <c r="J343" s="1">
        <v>0</v>
      </c>
      <c r="K343">
        <f t="shared" si="5"/>
        <v>1</v>
      </c>
    </row>
    <row r="344" spans="1:11" x14ac:dyDescent="0.35">
      <c r="A344" s="1">
        <v>343</v>
      </c>
      <c r="B344" s="1">
        <v>24</v>
      </c>
      <c r="C344" s="1" t="s">
        <v>11</v>
      </c>
      <c r="D344" s="1">
        <v>1</v>
      </c>
      <c r="E344" s="1">
        <v>45506.73</v>
      </c>
      <c r="F344" s="1">
        <v>1</v>
      </c>
      <c r="G344" s="1">
        <v>1</v>
      </c>
      <c r="H344" s="1">
        <v>0</v>
      </c>
      <c r="I344" s="1">
        <v>140420.07999999999</v>
      </c>
      <c r="J344" s="1">
        <v>0</v>
      </c>
      <c r="K344">
        <f t="shared" si="5"/>
        <v>1</v>
      </c>
    </row>
    <row r="345" spans="1:11" x14ac:dyDescent="0.35">
      <c r="A345" s="1">
        <v>344</v>
      </c>
      <c r="B345" s="1">
        <v>20</v>
      </c>
      <c r="C345" s="1" t="s">
        <v>10</v>
      </c>
      <c r="D345" s="1">
        <v>8</v>
      </c>
      <c r="E345" s="1">
        <v>40401.129999999997</v>
      </c>
      <c r="F345" s="1">
        <v>2</v>
      </c>
      <c r="G345" s="1">
        <v>0</v>
      </c>
      <c r="H345" s="1">
        <v>0</v>
      </c>
      <c r="I345" s="1">
        <v>100491.85</v>
      </c>
      <c r="J345" s="1">
        <v>0</v>
      </c>
      <c r="K345">
        <f t="shared" si="5"/>
        <v>1</v>
      </c>
    </row>
    <row r="346" spans="1:11" x14ac:dyDescent="0.35">
      <c r="A346" s="1">
        <v>345</v>
      </c>
      <c r="B346" s="1">
        <v>34</v>
      </c>
      <c r="C346" s="1" t="s">
        <v>10</v>
      </c>
      <c r="D346" s="1">
        <v>29</v>
      </c>
      <c r="E346" s="1">
        <v>10802.57</v>
      </c>
      <c r="F346" s="1">
        <v>2</v>
      </c>
      <c r="G346" s="1">
        <v>0</v>
      </c>
      <c r="H346" s="1">
        <v>0</v>
      </c>
      <c r="I346" s="1">
        <v>127224.9</v>
      </c>
      <c r="J346" s="1">
        <v>0</v>
      </c>
      <c r="K346">
        <f t="shared" si="5"/>
        <v>1</v>
      </c>
    </row>
    <row r="347" spans="1:11" x14ac:dyDescent="0.35">
      <c r="A347" s="1">
        <v>346</v>
      </c>
      <c r="B347" s="1">
        <v>50</v>
      </c>
      <c r="C347" s="1" t="s">
        <v>10</v>
      </c>
      <c r="D347" s="1">
        <v>5</v>
      </c>
      <c r="E347" s="1">
        <v>23330.39</v>
      </c>
      <c r="F347" s="1">
        <v>3</v>
      </c>
      <c r="G347" s="1">
        <v>0</v>
      </c>
      <c r="H347" s="1">
        <v>1</v>
      </c>
      <c r="I347" s="1">
        <v>109545.37</v>
      </c>
      <c r="J347" s="1">
        <v>0</v>
      </c>
      <c r="K347">
        <f t="shared" si="5"/>
        <v>1</v>
      </c>
    </row>
    <row r="348" spans="1:11" x14ac:dyDescent="0.35">
      <c r="A348" s="1">
        <v>347</v>
      </c>
      <c r="B348" s="1">
        <v>65</v>
      </c>
      <c r="C348" s="1" t="s">
        <v>11</v>
      </c>
      <c r="D348" s="1">
        <v>47</v>
      </c>
      <c r="E348" s="1">
        <v>40836.160000000003</v>
      </c>
      <c r="F348" s="1">
        <v>4</v>
      </c>
      <c r="G348" s="1">
        <v>1</v>
      </c>
      <c r="H348" s="1">
        <v>0</v>
      </c>
      <c r="I348" s="1">
        <v>91751.73</v>
      </c>
      <c r="J348" s="1">
        <v>0</v>
      </c>
      <c r="K348">
        <f t="shared" si="5"/>
        <v>1</v>
      </c>
    </row>
    <row r="349" spans="1:11" x14ac:dyDescent="0.35">
      <c r="A349" s="1">
        <v>348</v>
      </c>
      <c r="B349" s="1">
        <v>29</v>
      </c>
      <c r="C349" s="1" t="s">
        <v>10</v>
      </c>
      <c r="D349" s="1">
        <v>34</v>
      </c>
      <c r="E349" s="1">
        <v>3369.23</v>
      </c>
      <c r="F349" s="1">
        <v>1</v>
      </c>
      <c r="G349" s="1">
        <v>0</v>
      </c>
      <c r="H349" s="1">
        <v>1</v>
      </c>
      <c r="I349" s="1">
        <v>51438.97</v>
      </c>
      <c r="J349" s="1">
        <v>0</v>
      </c>
      <c r="K349">
        <f t="shared" si="5"/>
        <v>1</v>
      </c>
    </row>
    <row r="350" spans="1:11" x14ac:dyDescent="0.35">
      <c r="A350" s="1">
        <v>349</v>
      </c>
      <c r="B350" s="1">
        <v>68</v>
      </c>
      <c r="C350" s="1" t="s">
        <v>10</v>
      </c>
      <c r="D350" s="1">
        <v>65</v>
      </c>
      <c r="E350" s="1">
        <v>19369.63</v>
      </c>
      <c r="F350" s="1">
        <v>1</v>
      </c>
      <c r="G350" s="1">
        <v>1</v>
      </c>
      <c r="H350" s="1">
        <v>1</v>
      </c>
      <c r="I350" s="1">
        <v>75379.679999999993</v>
      </c>
      <c r="J350" s="1">
        <v>0</v>
      </c>
      <c r="K350">
        <f t="shared" si="5"/>
        <v>1</v>
      </c>
    </row>
    <row r="351" spans="1:11" x14ac:dyDescent="0.35">
      <c r="A351" s="1">
        <v>350</v>
      </c>
      <c r="B351" s="1">
        <v>39</v>
      </c>
      <c r="C351" s="1" t="s">
        <v>11</v>
      </c>
      <c r="D351" s="1">
        <v>55</v>
      </c>
      <c r="E351" s="1">
        <v>42592.06</v>
      </c>
      <c r="F351" s="1">
        <v>1</v>
      </c>
      <c r="G351" s="1">
        <v>0</v>
      </c>
      <c r="H351" s="1">
        <v>1</v>
      </c>
      <c r="I351" s="1">
        <v>145806.57</v>
      </c>
      <c r="J351" s="1">
        <v>0</v>
      </c>
      <c r="K351">
        <f t="shared" si="5"/>
        <v>1</v>
      </c>
    </row>
    <row r="352" spans="1:11" x14ac:dyDescent="0.35">
      <c r="A352" s="1">
        <v>351</v>
      </c>
      <c r="B352" s="1">
        <v>39</v>
      </c>
      <c r="C352" s="1" t="s">
        <v>11</v>
      </c>
      <c r="D352" s="1">
        <v>43</v>
      </c>
      <c r="E352" s="1">
        <v>20194.89</v>
      </c>
      <c r="F352" s="1">
        <v>1</v>
      </c>
      <c r="G352" s="1">
        <v>0</v>
      </c>
      <c r="H352" s="1">
        <v>0</v>
      </c>
      <c r="I352" s="1">
        <v>105509.5</v>
      </c>
      <c r="J352" s="1">
        <v>0</v>
      </c>
      <c r="K352">
        <f t="shared" si="5"/>
        <v>1</v>
      </c>
    </row>
    <row r="353" spans="1:11" x14ac:dyDescent="0.35">
      <c r="A353" s="1">
        <v>352</v>
      </c>
      <c r="B353" s="1">
        <v>63</v>
      </c>
      <c r="C353" s="1" t="s">
        <v>11</v>
      </c>
      <c r="D353" s="1">
        <v>30</v>
      </c>
      <c r="E353" s="1">
        <v>3880.73</v>
      </c>
      <c r="F353" s="1">
        <v>1</v>
      </c>
      <c r="G353" s="1">
        <v>1</v>
      </c>
      <c r="H353" s="1">
        <v>0</v>
      </c>
      <c r="I353" s="1">
        <v>93371.4</v>
      </c>
      <c r="J353" s="1">
        <v>0</v>
      </c>
      <c r="K353">
        <f t="shared" si="5"/>
        <v>1</v>
      </c>
    </row>
    <row r="354" spans="1:11" x14ac:dyDescent="0.35">
      <c r="A354" s="1">
        <v>353</v>
      </c>
      <c r="B354" s="1">
        <v>47</v>
      </c>
      <c r="C354" s="1" t="s">
        <v>11</v>
      </c>
      <c r="D354" s="1">
        <v>17</v>
      </c>
      <c r="E354" s="1">
        <v>27126.720000000001</v>
      </c>
      <c r="F354" s="1">
        <v>2</v>
      </c>
      <c r="G354" s="1">
        <v>0</v>
      </c>
      <c r="H354" s="1">
        <v>0</v>
      </c>
      <c r="I354" s="1">
        <v>141284.35999999999</v>
      </c>
      <c r="J354" s="1">
        <v>0</v>
      </c>
      <c r="K354">
        <f t="shared" si="5"/>
        <v>1</v>
      </c>
    </row>
    <row r="355" spans="1:11" x14ac:dyDescent="0.35">
      <c r="A355" s="1">
        <v>354</v>
      </c>
      <c r="B355" s="1">
        <v>55</v>
      </c>
      <c r="C355" s="1" t="s">
        <v>10</v>
      </c>
      <c r="D355" s="1">
        <v>26</v>
      </c>
      <c r="E355" s="1">
        <v>43087.12</v>
      </c>
      <c r="F355" s="1">
        <v>3</v>
      </c>
      <c r="G355" s="1">
        <v>0</v>
      </c>
      <c r="H355" s="1">
        <v>1</v>
      </c>
      <c r="I355" s="1">
        <v>96246.53</v>
      </c>
      <c r="J355" s="1">
        <v>0</v>
      </c>
      <c r="K355">
        <f t="shared" si="5"/>
        <v>1</v>
      </c>
    </row>
    <row r="356" spans="1:11" x14ac:dyDescent="0.35">
      <c r="A356" s="1">
        <v>355</v>
      </c>
      <c r="B356" s="1">
        <v>55</v>
      </c>
      <c r="C356" s="1" t="s">
        <v>10</v>
      </c>
      <c r="D356" s="1">
        <v>8</v>
      </c>
      <c r="E356" s="1">
        <v>29514.28</v>
      </c>
      <c r="F356" s="1">
        <v>1</v>
      </c>
      <c r="G356" s="1">
        <v>1</v>
      </c>
      <c r="H356" s="1">
        <v>0</v>
      </c>
      <c r="I356" s="1">
        <v>88390.73</v>
      </c>
      <c r="J356" s="1">
        <v>0</v>
      </c>
      <c r="K356">
        <f t="shared" si="5"/>
        <v>1</v>
      </c>
    </row>
    <row r="357" spans="1:11" x14ac:dyDescent="0.35">
      <c r="A357" s="1">
        <v>356</v>
      </c>
      <c r="B357" s="1">
        <v>62</v>
      </c>
      <c r="C357" s="1" t="s">
        <v>10</v>
      </c>
      <c r="D357" s="1">
        <v>47</v>
      </c>
      <c r="E357" s="1">
        <v>11313.96</v>
      </c>
      <c r="F357" s="1">
        <v>3</v>
      </c>
      <c r="G357" s="1">
        <v>0</v>
      </c>
      <c r="H357" s="1">
        <v>0</v>
      </c>
      <c r="I357" s="1">
        <v>118710.41</v>
      </c>
      <c r="J357" s="1">
        <v>0</v>
      </c>
      <c r="K357">
        <f t="shared" si="5"/>
        <v>1</v>
      </c>
    </row>
    <row r="358" spans="1:11" x14ac:dyDescent="0.35">
      <c r="A358" s="1">
        <v>357</v>
      </c>
      <c r="B358" s="1">
        <v>68</v>
      </c>
      <c r="C358" s="1" t="s">
        <v>10</v>
      </c>
      <c r="D358" s="1">
        <v>46</v>
      </c>
      <c r="E358" s="1">
        <v>19211.98</v>
      </c>
      <c r="F358" s="1">
        <v>3</v>
      </c>
      <c r="G358" s="1">
        <v>1</v>
      </c>
      <c r="H358" s="1">
        <v>1</v>
      </c>
      <c r="I358" s="1">
        <v>112646.53</v>
      </c>
      <c r="J358" s="1">
        <v>0</v>
      </c>
      <c r="K358">
        <f t="shared" si="5"/>
        <v>1</v>
      </c>
    </row>
    <row r="359" spans="1:11" x14ac:dyDescent="0.35">
      <c r="A359" s="1">
        <v>358</v>
      </c>
      <c r="B359" s="1">
        <v>25</v>
      </c>
      <c r="C359" s="1" t="s">
        <v>11</v>
      </c>
      <c r="D359" s="1">
        <v>68</v>
      </c>
      <c r="E359" s="1">
        <v>22506.17</v>
      </c>
      <c r="F359" s="1">
        <v>2</v>
      </c>
      <c r="G359" s="1">
        <v>1</v>
      </c>
      <c r="H359" s="1">
        <v>1</v>
      </c>
      <c r="I359" s="1">
        <v>45110.8</v>
      </c>
      <c r="J359" s="1">
        <v>0</v>
      </c>
      <c r="K359">
        <f t="shared" si="5"/>
        <v>1</v>
      </c>
    </row>
    <row r="360" spans="1:11" x14ac:dyDescent="0.35">
      <c r="A360" s="1">
        <v>359</v>
      </c>
      <c r="B360" s="1">
        <v>44</v>
      </c>
      <c r="C360" s="1" t="s">
        <v>10</v>
      </c>
      <c r="D360" s="1">
        <v>33</v>
      </c>
      <c r="E360" s="1">
        <v>28963.32</v>
      </c>
      <c r="F360" s="1">
        <v>1</v>
      </c>
      <c r="G360" s="1">
        <v>1</v>
      </c>
      <c r="H360" s="1">
        <v>1</v>
      </c>
      <c r="I360" s="1">
        <v>81270.080000000002</v>
      </c>
      <c r="J360" s="1">
        <v>0</v>
      </c>
      <c r="K360">
        <f t="shared" si="5"/>
        <v>1</v>
      </c>
    </row>
    <row r="361" spans="1:11" x14ac:dyDescent="0.35">
      <c r="A361" s="1">
        <v>360</v>
      </c>
      <c r="B361" s="1">
        <v>44</v>
      </c>
      <c r="C361" s="1" t="s">
        <v>10</v>
      </c>
      <c r="D361" s="1">
        <v>1</v>
      </c>
      <c r="E361" s="1">
        <v>37967.550000000003</v>
      </c>
      <c r="F361" s="1">
        <v>2</v>
      </c>
      <c r="G361" s="1">
        <v>1</v>
      </c>
      <c r="H361" s="1">
        <v>1</v>
      </c>
      <c r="I361" s="1">
        <v>81427.009999999995</v>
      </c>
      <c r="J361" s="1">
        <v>0</v>
      </c>
      <c r="K361">
        <f t="shared" si="5"/>
        <v>1</v>
      </c>
    </row>
    <row r="362" spans="1:11" x14ac:dyDescent="0.35">
      <c r="A362" s="1">
        <v>361</v>
      </c>
      <c r="B362" s="1">
        <v>51</v>
      </c>
      <c r="C362" s="1" t="s">
        <v>11</v>
      </c>
      <c r="D362" s="1">
        <v>19</v>
      </c>
      <c r="E362" s="1">
        <v>4943.68</v>
      </c>
      <c r="F362" s="1">
        <v>1</v>
      </c>
      <c r="G362" s="1">
        <v>1</v>
      </c>
      <c r="H362" s="1">
        <v>1</v>
      </c>
      <c r="I362" s="1">
        <v>69169.19</v>
      </c>
      <c r="J362" s="1">
        <v>0</v>
      </c>
      <c r="K362">
        <f t="shared" si="5"/>
        <v>1</v>
      </c>
    </row>
    <row r="363" spans="1:11" x14ac:dyDescent="0.35">
      <c r="A363" s="1">
        <v>362</v>
      </c>
      <c r="B363" s="1">
        <v>38</v>
      </c>
      <c r="C363" s="1" t="s">
        <v>10</v>
      </c>
      <c r="D363" s="1">
        <v>31</v>
      </c>
      <c r="E363" s="1">
        <v>44482.6</v>
      </c>
      <c r="F363" s="1">
        <v>2</v>
      </c>
      <c r="G363" s="1">
        <v>0</v>
      </c>
      <c r="H363" s="1">
        <v>1</v>
      </c>
      <c r="I363" s="1">
        <v>87248.15</v>
      </c>
      <c r="J363" s="1">
        <v>0</v>
      </c>
      <c r="K363">
        <f t="shared" si="5"/>
        <v>1</v>
      </c>
    </row>
    <row r="364" spans="1:11" x14ac:dyDescent="0.35">
      <c r="A364" s="1">
        <v>363</v>
      </c>
      <c r="B364" s="1">
        <v>47</v>
      </c>
      <c r="C364" s="1" t="s">
        <v>10</v>
      </c>
      <c r="D364" s="1">
        <v>14</v>
      </c>
      <c r="E364" s="1">
        <v>615.49</v>
      </c>
      <c r="F364" s="1">
        <v>3</v>
      </c>
      <c r="G364" s="1">
        <v>0</v>
      </c>
      <c r="H364" s="1">
        <v>0</v>
      </c>
      <c r="I364" s="1">
        <v>73703.960000000006</v>
      </c>
      <c r="J364" s="1">
        <v>0</v>
      </c>
      <c r="K364">
        <f t="shared" si="5"/>
        <v>1</v>
      </c>
    </row>
    <row r="365" spans="1:11" x14ac:dyDescent="0.35">
      <c r="A365" s="1">
        <v>364</v>
      </c>
      <c r="B365" s="1">
        <v>50</v>
      </c>
      <c r="C365" s="1" t="s">
        <v>10</v>
      </c>
      <c r="D365" s="1">
        <v>53</v>
      </c>
      <c r="E365" s="1">
        <v>18502.62</v>
      </c>
      <c r="F365" s="1">
        <v>1</v>
      </c>
      <c r="G365" s="1">
        <v>0</v>
      </c>
      <c r="H365" s="1">
        <v>1</v>
      </c>
      <c r="I365" s="1">
        <v>45914.91</v>
      </c>
      <c r="J365" s="1">
        <v>0</v>
      </c>
      <c r="K365">
        <f t="shared" si="5"/>
        <v>1</v>
      </c>
    </row>
    <row r="366" spans="1:11" x14ac:dyDescent="0.35">
      <c r="A366" s="1">
        <v>365</v>
      </c>
      <c r="B366" s="1">
        <v>45</v>
      </c>
      <c r="C366" s="1" t="s">
        <v>10</v>
      </c>
      <c r="D366" s="1">
        <v>48</v>
      </c>
      <c r="E366" s="1">
        <v>1371.02</v>
      </c>
      <c r="F366" s="1">
        <v>4</v>
      </c>
      <c r="G366" s="1">
        <v>1</v>
      </c>
      <c r="H366" s="1">
        <v>0</v>
      </c>
      <c r="I366" s="1">
        <v>73607.64</v>
      </c>
      <c r="J366" s="1">
        <v>0</v>
      </c>
      <c r="K366">
        <f t="shared" si="5"/>
        <v>1</v>
      </c>
    </row>
    <row r="367" spans="1:11" x14ac:dyDescent="0.35">
      <c r="A367" s="1">
        <v>366</v>
      </c>
      <c r="B367" s="1">
        <v>64</v>
      </c>
      <c r="C367" s="1" t="s">
        <v>10</v>
      </c>
      <c r="D367" s="1">
        <v>69</v>
      </c>
      <c r="E367" s="1">
        <v>19648.71</v>
      </c>
      <c r="F367" s="1">
        <v>3</v>
      </c>
      <c r="G367" s="1">
        <v>1</v>
      </c>
      <c r="H367" s="1">
        <v>0</v>
      </c>
      <c r="I367" s="1">
        <v>29396</v>
      </c>
      <c r="J367" s="1">
        <v>0</v>
      </c>
      <c r="K367">
        <f t="shared" si="5"/>
        <v>1</v>
      </c>
    </row>
    <row r="368" spans="1:11" x14ac:dyDescent="0.35">
      <c r="A368" s="1">
        <v>367</v>
      </c>
      <c r="B368" s="1">
        <v>50</v>
      </c>
      <c r="C368" s="1" t="s">
        <v>10</v>
      </c>
      <c r="D368" s="1">
        <v>62</v>
      </c>
      <c r="E368" s="1">
        <v>26290.63</v>
      </c>
      <c r="F368" s="1">
        <v>4</v>
      </c>
      <c r="G368" s="1">
        <v>1</v>
      </c>
      <c r="H368" s="1">
        <v>0</v>
      </c>
      <c r="I368" s="1">
        <v>94852.160000000003</v>
      </c>
      <c r="J368" s="1">
        <v>0</v>
      </c>
      <c r="K368">
        <f t="shared" si="5"/>
        <v>1</v>
      </c>
    </row>
    <row r="369" spans="1:11" x14ac:dyDescent="0.35">
      <c r="A369" s="1">
        <v>368</v>
      </c>
      <c r="B369" s="1">
        <v>22</v>
      </c>
      <c r="C369" s="1" t="s">
        <v>11</v>
      </c>
      <c r="D369" s="1">
        <v>66</v>
      </c>
      <c r="E369" s="1">
        <v>25584.07</v>
      </c>
      <c r="F369" s="1">
        <v>3</v>
      </c>
      <c r="G369" s="1">
        <v>1</v>
      </c>
      <c r="H369" s="1">
        <v>1</v>
      </c>
      <c r="I369" s="1">
        <v>130975.09</v>
      </c>
      <c r="J369" s="1">
        <v>0</v>
      </c>
      <c r="K369">
        <f t="shared" si="5"/>
        <v>1</v>
      </c>
    </row>
    <row r="370" spans="1:11" x14ac:dyDescent="0.35">
      <c r="A370" s="1">
        <v>369</v>
      </c>
      <c r="B370" s="1">
        <v>65</v>
      </c>
      <c r="C370" s="1" t="s">
        <v>11</v>
      </c>
      <c r="D370" s="1">
        <v>64</v>
      </c>
      <c r="E370" s="1">
        <v>8281.42</v>
      </c>
      <c r="F370" s="1">
        <v>2</v>
      </c>
      <c r="G370" s="1">
        <v>0</v>
      </c>
      <c r="H370" s="1">
        <v>0</v>
      </c>
      <c r="I370" s="1">
        <v>114287.32</v>
      </c>
      <c r="J370" s="1">
        <v>0</v>
      </c>
      <c r="K370">
        <f t="shared" si="5"/>
        <v>1</v>
      </c>
    </row>
    <row r="371" spans="1:11" x14ac:dyDescent="0.35">
      <c r="A371" s="1">
        <v>370</v>
      </c>
      <c r="B371" s="1">
        <v>36</v>
      </c>
      <c r="C371" s="1" t="s">
        <v>10</v>
      </c>
      <c r="D371" s="1">
        <v>70</v>
      </c>
      <c r="E371" s="1">
        <v>32287.03</v>
      </c>
      <c r="F371" s="1">
        <v>1</v>
      </c>
      <c r="G371" s="1">
        <v>0</v>
      </c>
      <c r="H371" s="1">
        <v>1</v>
      </c>
      <c r="I371" s="1">
        <v>66851.23</v>
      </c>
      <c r="J371" s="1">
        <v>0</v>
      </c>
      <c r="K371">
        <f t="shared" si="5"/>
        <v>1</v>
      </c>
    </row>
    <row r="372" spans="1:11" x14ac:dyDescent="0.35">
      <c r="A372" s="1">
        <v>371</v>
      </c>
      <c r="B372" s="1">
        <v>21</v>
      </c>
      <c r="C372" s="1" t="s">
        <v>10</v>
      </c>
      <c r="D372" s="1">
        <v>63</v>
      </c>
      <c r="E372" s="1">
        <v>2238.92</v>
      </c>
      <c r="F372" s="1">
        <v>3</v>
      </c>
      <c r="G372" s="1">
        <v>1</v>
      </c>
      <c r="H372" s="1">
        <v>1</v>
      </c>
      <c r="I372" s="1">
        <v>31319.26</v>
      </c>
      <c r="J372" s="1">
        <v>0</v>
      </c>
      <c r="K372">
        <f t="shared" si="5"/>
        <v>1</v>
      </c>
    </row>
    <row r="373" spans="1:11" x14ac:dyDescent="0.35">
      <c r="A373" s="1">
        <v>372</v>
      </c>
      <c r="B373" s="1">
        <v>52</v>
      </c>
      <c r="C373" s="1" t="s">
        <v>11</v>
      </c>
      <c r="D373" s="1">
        <v>33</v>
      </c>
      <c r="E373" s="1">
        <v>38095.339999999997</v>
      </c>
      <c r="F373" s="1">
        <v>2</v>
      </c>
      <c r="G373" s="1">
        <v>1</v>
      </c>
      <c r="H373" s="1">
        <v>0</v>
      </c>
      <c r="I373" s="1">
        <v>46279.42</v>
      </c>
      <c r="J373" s="1">
        <v>0</v>
      </c>
      <c r="K373">
        <f t="shared" si="5"/>
        <v>1</v>
      </c>
    </row>
    <row r="374" spans="1:11" x14ac:dyDescent="0.35">
      <c r="A374" s="1">
        <v>373</v>
      </c>
      <c r="B374" s="1">
        <v>66</v>
      </c>
      <c r="C374" s="1" t="s">
        <v>10</v>
      </c>
      <c r="D374" s="1">
        <v>41</v>
      </c>
      <c r="E374" s="1">
        <v>47332.22</v>
      </c>
      <c r="F374" s="1">
        <v>1</v>
      </c>
      <c r="G374" s="1">
        <v>0</v>
      </c>
      <c r="H374" s="1">
        <v>1</v>
      </c>
      <c r="I374" s="1">
        <v>90913.74</v>
      </c>
      <c r="J374" s="1">
        <v>0</v>
      </c>
      <c r="K374">
        <f t="shared" si="5"/>
        <v>1</v>
      </c>
    </row>
    <row r="375" spans="1:11" x14ac:dyDescent="0.35">
      <c r="A375" s="1">
        <v>374</v>
      </c>
      <c r="B375" s="1">
        <v>34</v>
      </c>
      <c r="C375" s="1" t="s">
        <v>10</v>
      </c>
      <c r="D375" s="1">
        <v>48</v>
      </c>
      <c r="E375" s="1">
        <v>16988.439999999999</v>
      </c>
      <c r="F375" s="1">
        <v>1</v>
      </c>
      <c r="G375" s="1">
        <v>1</v>
      </c>
      <c r="H375" s="1">
        <v>0</v>
      </c>
      <c r="I375" s="1">
        <v>46917.42</v>
      </c>
      <c r="J375" s="1">
        <v>0</v>
      </c>
      <c r="K375">
        <f t="shared" si="5"/>
        <v>1</v>
      </c>
    </row>
    <row r="376" spans="1:11" x14ac:dyDescent="0.35">
      <c r="A376" s="1">
        <v>375</v>
      </c>
      <c r="B376" s="1">
        <v>61</v>
      </c>
      <c r="C376" s="1" t="s">
        <v>10</v>
      </c>
      <c r="D376" s="1">
        <v>13</v>
      </c>
      <c r="E376" s="1">
        <v>25861.97</v>
      </c>
      <c r="F376" s="1">
        <v>3</v>
      </c>
      <c r="G376" s="1">
        <v>1</v>
      </c>
      <c r="H376" s="1">
        <v>0</v>
      </c>
      <c r="I376" s="1">
        <v>90716.5</v>
      </c>
      <c r="J376" s="1">
        <v>0</v>
      </c>
      <c r="K376">
        <f t="shared" si="5"/>
        <v>1</v>
      </c>
    </row>
    <row r="377" spans="1:11" x14ac:dyDescent="0.35">
      <c r="A377" s="1">
        <v>376</v>
      </c>
      <c r="B377" s="1">
        <v>45</v>
      </c>
      <c r="C377" s="1" t="s">
        <v>11</v>
      </c>
      <c r="D377" s="1">
        <v>31</v>
      </c>
      <c r="E377" s="1">
        <v>18945.509999999998</v>
      </c>
      <c r="F377" s="1">
        <v>1</v>
      </c>
      <c r="G377" s="1">
        <v>1</v>
      </c>
      <c r="H377" s="1">
        <v>1</v>
      </c>
      <c r="I377" s="1">
        <v>50107.87</v>
      </c>
      <c r="J377" s="1">
        <v>0</v>
      </c>
      <c r="K377">
        <f t="shared" si="5"/>
        <v>1</v>
      </c>
    </row>
    <row r="378" spans="1:11" x14ac:dyDescent="0.35">
      <c r="A378" s="1">
        <v>377</v>
      </c>
      <c r="B378" s="1">
        <v>47</v>
      </c>
      <c r="C378" s="1" t="s">
        <v>10</v>
      </c>
      <c r="D378" s="1">
        <v>68</v>
      </c>
      <c r="E378" s="1">
        <v>335.52</v>
      </c>
      <c r="F378" s="1">
        <v>3</v>
      </c>
      <c r="G378" s="1">
        <v>0</v>
      </c>
      <c r="H378" s="1">
        <v>0</v>
      </c>
      <c r="I378" s="1">
        <v>130360.1</v>
      </c>
      <c r="J378" s="1">
        <v>0</v>
      </c>
      <c r="K378">
        <f t="shared" si="5"/>
        <v>1</v>
      </c>
    </row>
    <row r="379" spans="1:11" x14ac:dyDescent="0.35">
      <c r="A379" s="1">
        <v>378</v>
      </c>
      <c r="B379" s="1">
        <v>46</v>
      </c>
      <c r="C379" s="1" t="s">
        <v>11</v>
      </c>
      <c r="D379" s="1">
        <v>4</v>
      </c>
      <c r="E379" s="1">
        <v>19293.73</v>
      </c>
      <c r="F379" s="1">
        <v>1</v>
      </c>
      <c r="G379" s="1">
        <v>0</v>
      </c>
      <c r="H379" s="1">
        <v>0</v>
      </c>
      <c r="I379" s="1">
        <v>71645.289999999994</v>
      </c>
      <c r="J379" s="1">
        <v>0</v>
      </c>
      <c r="K379">
        <f t="shared" si="5"/>
        <v>1</v>
      </c>
    </row>
    <row r="380" spans="1:11" x14ac:dyDescent="0.35">
      <c r="A380" s="1">
        <v>379</v>
      </c>
      <c r="B380" s="1">
        <v>63</v>
      </c>
      <c r="C380" s="1" t="s">
        <v>10</v>
      </c>
      <c r="D380" s="1">
        <v>19</v>
      </c>
      <c r="E380" s="1">
        <v>39586.01</v>
      </c>
      <c r="F380" s="1">
        <v>4</v>
      </c>
      <c r="G380" s="1">
        <v>1</v>
      </c>
      <c r="H380" s="1">
        <v>0</v>
      </c>
      <c r="I380" s="1">
        <v>51921.58</v>
      </c>
      <c r="J380" s="1">
        <v>0</v>
      </c>
      <c r="K380">
        <f t="shared" si="5"/>
        <v>1</v>
      </c>
    </row>
    <row r="381" spans="1:11" x14ac:dyDescent="0.35">
      <c r="A381" s="1">
        <v>380</v>
      </c>
      <c r="B381" s="1">
        <v>23</v>
      </c>
      <c r="C381" s="1" t="s">
        <v>11</v>
      </c>
      <c r="D381" s="1">
        <v>70</v>
      </c>
      <c r="E381" s="1">
        <v>29799.439999999999</v>
      </c>
      <c r="F381" s="1">
        <v>2</v>
      </c>
      <c r="G381" s="1">
        <v>0</v>
      </c>
      <c r="H381" s="1">
        <v>1</v>
      </c>
      <c r="I381" s="1">
        <v>125602.4</v>
      </c>
      <c r="J381" s="1">
        <v>0</v>
      </c>
      <c r="K381">
        <f t="shared" si="5"/>
        <v>1</v>
      </c>
    </row>
    <row r="382" spans="1:11" x14ac:dyDescent="0.35">
      <c r="A382" s="1">
        <v>381</v>
      </c>
      <c r="B382" s="1">
        <v>52</v>
      </c>
      <c r="C382" s="1" t="s">
        <v>11</v>
      </c>
      <c r="D382" s="1">
        <v>13</v>
      </c>
      <c r="E382" s="1">
        <v>5063</v>
      </c>
      <c r="F382" s="1">
        <v>4</v>
      </c>
      <c r="G382" s="1">
        <v>1</v>
      </c>
      <c r="H382" s="1">
        <v>0</v>
      </c>
      <c r="I382" s="1">
        <v>64569.07</v>
      </c>
      <c r="J382" s="1">
        <v>0</v>
      </c>
      <c r="K382">
        <f t="shared" si="5"/>
        <v>1</v>
      </c>
    </row>
    <row r="383" spans="1:11" x14ac:dyDescent="0.35">
      <c r="A383" s="1">
        <v>382</v>
      </c>
      <c r="B383" s="1">
        <v>58</v>
      </c>
      <c r="C383" s="1" t="s">
        <v>10</v>
      </c>
      <c r="D383" s="1">
        <v>23</v>
      </c>
      <c r="E383" s="1">
        <v>42356.97</v>
      </c>
      <c r="F383" s="1">
        <v>3</v>
      </c>
      <c r="G383" s="1">
        <v>1</v>
      </c>
      <c r="H383" s="1">
        <v>1</v>
      </c>
      <c r="I383" s="1">
        <v>34493.4</v>
      </c>
      <c r="J383" s="1">
        <v>0</v>
      </c>
      <c r="K383">
        <f t="shared" si="5"/>
        <v>1</v>
      </c>
    </row>
    <row r="384" spans="1:11" x14ac:dyDescent="0.35">
      <c r="A384" s="1">
        <v>383</v>
      </c>
      <c r="B384" s="1">
        <v>54</v>
      </c>
      <c r="C384" s="1" t="s">
        <v>11</v>
      </c>
      <c r="D384" s="1">
        <v>1</v>
      </c>
      <c r="E384" s="1">
        <v>26554.27</v>
      </c>
      <c r="F384" s="1">
        <v>4</v>
      </c>
      <c r="G384" s="1">
        <v>0</v>
      </c>
      <c r="H384" s="1">
        <v>1</v>
      </c>
      <c r="I384" s="1">
        <v>94153.23</v>
      </c>
      <c r="J384" s="1">
        <v>0</v>
      </c>
      <c r="K384">
        <f t="shared" si="5"/>
        <v>1</v>
      </c>
    </row>
    <row r="385" spans="1:11" x14ac:dyDescent="0.35">
      <c r="A385" s="1">
        <v>384</v>
      </c>
      <c r="B385" s="1">
        <v>41</v>
      </c>
      <c r="C385" s="1" t="s">
        <v>10</v>
      </c>
      <c r="D385" s="1">
        <v>54</v>
      </c>
      <c r="E385" s="1">
        <v>42086.17</v>
      </c>
      <c r="F385" s="1">
        <v>3</v>
      </c>
      <c r="G385" s="1">
        <v>1</v>
      </c>
      <c r="H385" s="1">
        <v>0</v>
      </c>
      <c r="I385" s="1">
        <v>95603.35</v>
      </c>
      <c r="J385" s="1">
        <v>0</v>
      </c>
      <c r="K385">
        <f t="shared" si="5"/>
        <v>1</v>
      </c>
    </row>
    <row r="386" spans="1:11" x14ac:dyDescent="0.35">
      <c r="A386" s="1">
        <v>385</v>
      </c>
      <c r="B386" s="1">
        <v>46</v>
      </c>
      <c r="C386" s="1" t="s">
        <v>11</v>
      </c>
      <c r="D386" s="1">
        <v>71</v>
      </c>
      <c r="E386" s="1">
        <v>29011.08</v>
      </c>
      <c r="F386" s="1">
        <v>1</v>
      </c>
      <c r="G386" s="1">
        <v>1</v>
      </c>
      <c r="H386" s="1">
        <v>0</v>
      </c>
      <c r="I386" s="1">
        <v>112910.44</v>
      </c>
      <c r="J386" s="1">
        <v>0</v>
      </c>
      <c r="K386">
        <f t="shared" si="5"/>
        <v>1</v>
      </c>
    </row>
    <row r="387" spans="1:11" x14ac:dyDescent="0.35">
      <c r="A387" s="1">
        <v>386</v>
      </c>
      <c r="B387" s="1">
        <v>66</v>
      </c>
      <c r="C387" s="1" t="s">
        <v>10</v>
      </c>
      <c r="D387" s="1">
        <v>15</v>
      </c>
      <c r="E387" s="1">
        <v>27984.42</v>
      </c>
      <c r="F387" s="1">
        <v>1</v>
      </c>
      <c r="G387" s="1">
        <v>0</v>
      </c>
      <c r="H387" s="1">
        <v>1</v>
      </c>
      <c r="I387" s="1">
        <v>51228.53</v>
      </c>
      <c r="J387" s="1">
        <v>0</v>
      </c>
      <c r="K387">
        <f t="shared" ref="K387:K450" si="6">COUNTIF($A$2:$A$1001,A387)</f>
        <v>1</v>
      </c>
    </row>
    <row r="388" spans="1:11" x14ac:dyDescent="0.35">
      <c r="A388" s="1">
        <v>387</v>
      </c>
      <c r="B388" s="1">
        <v>63</v>
      </c>
      <c r="C388" s="1" t="s">
        <v>10</v>
      </c>
      <c r="D388" s="1">
        <v>65</v>
      </c>
      <c r="E388" s="1">
        <v>5262.96</v>
      </c>
      <c r="F388" s="1">
        <v>3</v>
      </c>
      <c r="G388" s="1">
        <v>1</v>
      </c>
      <c r="H388" s="1">
        <v>1</v>
      </c>
      <c r="I388" s="1">
        <v>77690.27</v>
      </c>
      <c r="J388" s="1">
        <v>0</v>
      </c>
      <c r="K388">
        <f t="shared" si="6"/>
        <v>1</v>
      </c>
    </row>
    <row r="389" spans="1:11" x14ac:dyDescent="0.35">
      <c r="A389" s="1">
        <v>388</v>
      </c>
      <c r="B389" s="1">
        <v>48</v>
      </c>
      <c r="C389" s="1" t="s">
        <v>11</v>
      </c>
      <c r="D389" s="1">
        <v>71</v>
      </c>
      <c r="E389" s="1">
        <v>8367.99</v>
      </c>
      <c r="F389" s="1">
        <v>4</v>
      </c>
      <c r="G389" s="1">
        <v>1</v>
      </c>
      <c r="H389" s="1">
        <v>0</v>
      </c>
      <c r="I389" s="1">
        <v>56707.83</v>
      </c>
      <c r="J389" s="1">
        <v>0</v>
      </c>
      <c r="K389">
        <f t="shared" si="6"/>
        <v>1</v>
      </c>
    </row>
    <row r="390" spans="1:11" x14ac:dyDescent="0.35">
      <c r="A390" s="1">
        <v>389</v>
      </c>
      <c r="B390" s="1">
        <v>52</v>
      </c>
      <c r="C390" s="1" t="s">
        <v>10</v>
      </c>
      <c r="D390" s="1">
        <v>15</v>
      </c>
      <c r="E390" s="1">
        <v>48601.26</v>
      </c>
      <c r="F390" s="1">
        <v>1</v>
      </c>
      <c r="G390" s="1">
        <v>1</v>
      </c>
      <c r="H390" s="1">
        <v>0</v>
      </c>
      <c r="I390" s="1">
        <v>30523.99</v>
      </c>
      <c r="J390" s="1">
        <v>0</v>
      </c>
      <c r="K390">
        <f t="shared" si="6"/>
        <v>1</v>
      </c>
    </row>
    <row r="391" spans="1:11" x14ac:dyDescent="0.35">
      <c r="A391" s="1">
        <v>390</v>
      </c>
      <c r="B391" s="1">
        <v>50</v>
      </c>
      <c r="C391" s="1" t="s">
        <v>10</v>
      </c>
      <c r="D391" s="1">
        <v>21</v>
      </c>
      <c r="E391" s="1">
        <v>11424.34</v>
      </c>
      <c r="F391" s="1">
        <v>2</v>
      </c>
      <c r="G391" s="1">
        <v>0</v>
      </c>
      <c r="H391" s="1">
        <v>1</v>
      </c>
      <c r="I391" s="1">
        <v>133959.79999999999</v>
      </c>
      <c r="J391" s="1">
        <v>0</v>
      </c>
      <c r="K391">
        <f t="shared" si="6"/>
        <v>1</v>
      </c>
    </row>
    <row r="392" spans="1:11" x14ac:dyDescent="0.35">
      <c r="A392" s="1">
        <v>391</v>
      </c>
      <c r="B392" s="1">
        <v>69</v>
      </c>
      <c r="C392" s="1" t="s">
        <v>11</v>
      </c>
      <c r="D392" s="1">
        <v>19</v>
      </c>
      <c r="E392" s="1">
        <v>48872.61</v>
      </c>
      <c r="F392" s="1">
        <v>1</v>
      </c>
      <c r="G392" s="1">
        <v>1</v>
      </c>
      <c r="H392" s="1">
        <v>1</v>
      </c>
      <c r="I392" s="1">
        <v>114753.07</v>
      </c>
      <c r="J392" s="1">
        <v>0</v>
      </c>
      <c r="K392">
        <f t="shared" si="6"/>
        <v>1</v>
      </c>
    </row>
    <row r="393" spans="1:11" x14ac:dyDescent="0.35">
      <c r="A393" s="1">
        <v>392</v>
      </c>
      <c r="B393" s="1">
        <v>38</v>
      </c>
      <c r="C393" s="1" t="s">
        <v>10</v>
      </c>
      <c r="D393" s="1">
        <v>60</v>
      </c>
      <c r="E393" s="1">
        <v>26595.64</v>
      </c>
      <c r="F393" s="1">
        <v>2</v>
      </c>
      <c r="G393" s="1">
        <v>0</v>
      </c>
      <c r="H393" s="1">
        <v>1</v>
      </c>
      <c r="I393" s="1">
        <v>59190.2</v>
      </c>
      <c r="J393" s="1">
        <v>0</v>
      </c>
      <c r="K393">
        <f t="shared" si="6"/>
        <v>1</v>
      </c>
    </row>
    <row r="394" spans="1:11" x14ac:dyDescent="0.35">
      <c r="A394" s="1">
        <v>393</v>
      </c>
      <c r="B394" s="1">
        <v>49</v>
      </c>
      <c r="C394" s="1" t="s">
        <v>10</v>
      </c>
      <c r="D394" s="1">
        <v>33</v>
      </c>
      <c r="E394" s="1">
        <v>6789.45</v>
      </c>
      <c r="F394" s="1">
        <v>4</v>
      </c>
      <c r="G394" s="1">
        <v>1</v>
      </c>
      <c r="H394" s="1">
        <v>1</v>
      </c>
      <c r="I394" s="1">
        <v>97918.49</v>
      </c>
      <c r="J394" s="1">
        <v>0</v>
      </c>
      <c r="K394">
        <f t="shared" si="6"/>
        <v>1</v>
      </c>
    </row>
    <row r="395" spans="1:11" x14ac:dyDescent="0.35">
      <c r="A395" s="1">
        <v>394</v>
      </c>
      <c r="B395" s="1">
        <v>40</v>
      </c>
      <c r="C395" s="1" t="s">
        <v>11</v>
      </c>
      <c r="D395" s="1">
        <v>49</v>
      </c>
      <c r="E395" s="1">
        <v>4965.1099999999997</v>
      </c>
      <c r="F395" s="1">
        <v>2</v>
      </c>
      <c r="G395" s="1">
        <v>1</v>
      </c>
      <c r="H395" s="1">
        <v>1</v>
      </c>
      <c r="I395" s="1">
        <v>46164.29</v>
      </c>
      <c r="J395" s="1">
        <v>0</v>
      </c>
      <c r="K395">
        <f t="shared" si="6"/>
        <v>1</v>
      </c>
    </row>
    <row r="396" spans="1:11" x14ac:dyDescent="0.35">
      <c r="A396" s="1">
        <v>395</v>
      </c>
      <c r="B396" s="1">
        <v>50</v>
      </c>
      <c r="C396" s="1" t="s">
        <v>11</v>
      </c>
      <c r="D396" s="1">
        <v>35</v>
      </c>
      <c r="E396" s="1">
        <v>10443.200000000001</v>
      </c>
      <c r="F396" s="1">
        <v>2</v>
      </c>
      <c r="G396" s="1">
        <v>1</v>
      </c>
      <c r="H396" s="1">
        <v>0</v>
      </c>
      <c r="I396" s="1">
        <v>135730.76</v>
      </c>
      <c r="J396" s="1">
        <v>0</v>
      </c>
      <c r="K396">
        <f t="shared" si="6"/>
        <v>1</v>
      </c>
    </row>
    <row r="397" spans="1:11" x14ac:dyDescent="0.35">
      <c r="A397" s="1">
        <v>396</v>
      </c>
      <c r="B397" s="1">
        <v>20</v>
      </c>
      <c r="C397" s="1" t="s">
        <v>10</v>
      </c>
      <c r="D397" s="1">
        <v>44</v>
      </c>
      <c r="E397" s="1">
        <v>46281.87</v>
      </c>
      <c r="F397" s="1">
        <v>2</v>
      </c>
      <c r="G397" s="1">
        <v>1</v>
      </c>
      <c r="H397" s="1">
        <v>1</v>
      </c>
      <c r="I397" s="1">
        <v>34937.82</v>
      </c>
      <c r="J397" s="1">
        <v>0</v>
      </c>
      <c r="K397">
        <f t="shared" si="6"/>
        <v>1</v>
      </c>
    </row>
    <row r="398" spans="1:11" x14ac:dyDescent="0.35">
      <c r="A398" s="1">
        <v>397</v>
      </c>
      <c r="B398" s="1">
        <v>35</v>
      </c>
      <c r="C398" s="1" t="s">
        <v>10</v>
      </c>
      <c r="D398" s="1">
        <v>11</v>
      </c>
      <c r="E398" s="1">
        <v>20707.509999999998</v>
      </c>
      <c r="F398" s="1">
        <v>2</v>
      </c>
      <c r="G398" s="1">
        <v>0</v>
      </c>
      <c r="H398" s="1">
        <v>1</v>
      </c>
      <c r="I398" s="1">
        <v>20498.830000000002</v>
      </c>
      <c r="J398" s="1">
        <v>0</v>
      </c>
      <c r="K398">
        <f t="shared" si="6"/>
        <v>1</v>
      </c>
    </row>
    <row r="399" spans="1:11" x14ac:dyDescent="0.35">
      <c r="A399" s="1">
        <v>398</v>
      </c>
      <c r="B399" s="1">
        <v>42</v>
      </c>
      <c r="C399" s="1" t="s">
        <v>11</v>
      </c>
      <c r="D399" s="1">
        <v>66</v>
      </c>
      <c r="E399" s="1">
        <v>19771.71</v>
      </c>
      <c r="F399" s="1">
        <v>1</v>
      </c>
      <c r="G399" s="1">
        <v>0</v>
      </c>
      <c r="H399" s="1">
        <v>0</v>
      </c>
      <c r="I399" s="1">
        <v>85261.07</v>
      </c>
      <c r="J399" s="1">
        <v>0</v>
      </c>
      <c r="K399">
        <f t="shared" si="6"/>
        <v>1</v>
      </c>
    </row>
    <row r="400" spans="1:11" x14ac:dyDescent="0.35">
      <c r="A400" s="1">
        <v>399</v>
      </c>
      <c r="B400" s="1">
        <v>59</v>
      </c>
      <c r="C400" s="1" t="s">
        <v>11</v>
      </c>
      <c r="D400" s="1">
        <v>46</v>
      </c>
      <c r="E400" s="1">
        <v>15660.31</v>
      </c>
      <c r="F400" s="1">
        <v>2</v>
      </c>
      <c r="G400" s="1">
        <v>1</v>
      </c>
      <c r="H400" s="1">
        <v>0</v>
      </c>
      <c r="I400" s="1">
        <v>95806.62</v>
      </c>
      <c r="J400" s="1">
        <v>0</v>
      </c>
      <c r="K400">
        <f t="shared" si="6"/>
        <v>1</v>
      </c>
    </row>
    <row r="401" spans="1:11" x14ac:dyDescent="0.35">
      <c r="A401" s="1">
        <v>400</v>
      </c>
      <c r="B401" s="1">
        <v>48</v>
      </c>
      <c r="C401" s="1" t="s">
        <v>10</v>
      </c>
      <c r="D401" s="1">
        <v>9</v>
      </c>
      <c r="E401" s="1">
        <v>7353.09</v>
      </c>
      <c r="F401" s="1">
        <v>1</v>
      </c>
      <c r="G401" s="1">
        <v>1</v>
      </c>
      <c r="H401" s="1">
        <v>1</v>
      </c>
      <c r="I401" s="1">
        <v>95265.49</v>
      </c>
      <c r="J401" s="1">
        <v>0</v>
      </c>
      <c r="K401">
        <f t="shared" si="6"/>
        <v>1</v>
      </c>
    </row>
    <row r="402" spans="1:11" x14ac:dyDescent="0.35">
      <c r="A402" s="1">
        <v>401</v>
      </c>
      <c r="B402" s="1">
        <v>20</v>
      </c>
      <c r="C402" s="1" t="s">
        <v>11</v>
      </c>
      <c r="D402" s="1">
        <v>3</v>
      </c>
      <c r="E402" s="1">
        <v>24392.560000000001</v>
      </c>
      <c r="F402" s="1">
        <v>2</v>
      </c>
      <c r="G402" s="1">
        <v>1</v>
      </c>
      <c r="H402" s="1">
        <v>1</v>
      </c>
      <c r="I402" s="1">
        <v>27086.55</v>
      </c>
      <c r="J402" s="1">
        <v>0</v>
      </c>
      <c r="K402">
        <f t="shared" si="6"/>
        <v>1</v>
      </c>
    </row>
    <row r="403" spans="1:11" x14ac:dyDescent="0.35">
      <c r="A403" s="1">
        <v>402</v>
      </c>
      <c r="B403" s="1">
        <v>57</v>
      </c>
      <c r="C403" s="1" t="s">
        <v>10</v>
      </c>
      <c r="D403" s="1">
        <v>26</v>
      </c>
      <c r="E403" s="1">
        <v>6502.39</v>
      </c>
      <c r="F403" s="1">
        <v>3</v>
      </c>
      <c r="G403" s="1">
        <v>1</v>
      </c>
      <c r="H403" s="1">
        <v>0</v>
      </c>
      <c r="I403" s="1">
        <v>60825.69</v>
      </c>
      <c r="J403" s="1">
        <v>0</v>
      </c>
      <c r="K403">
        <f t="shared" si="6"/>
        <v>1</v>
      </c>
    </row>
    <row r="404" spans="1:11" x14ac:dyDescent="0.35">
      <c r="A404" s="1">
        <v>403</v>
      </c>
      <c r="B404" s="1">
        <v>63</v>
      </c>
      <c r="C404" s="1" t="s">
        <v>10</v>
      </c>
      <c r="D404" s="1">
        <v>48</v>
      </c>
      <c r="E404" s="1">
        <v>41774.01</v>
      </c>
      <c r="F404" s="1">
        <v>4</v>
      </c>
      <c r="G404" s="1">
        <v>1</v>
      </c>
      <c r="H404" s="1">
        <v>1</v>
      </c>
      <c r="I404" s="1">
        <v>84895.86</v>
      </c>
      <c r="J404" s="1">
        <v>0</v>
      </c>
      <c r="K404">
        <f t="shared" si="6"/>
        <v>1</v>
      </c>
    </row>
    <row r="405" spans="1:11" x14ac:dyDescent="0.35">
      <c r="A405" s="1">
        <v>404</v>
      </c>
      <c r="B405" s="1">
        <v>41</v>
      </c>
      <c r="C405" s="1" t="s">
        <v>10</v>
      </c>
      <c r="D405" s="1">
        <v>66</v>
      </c>
      <c r="E405" s="1">
        <v>18519.849999999999</v>
      </c>
      <c r="F405" s="1">
        <v>2</v>
      </c>
      <c r="G405" s="1">
        <v>1</v>
      </c>
      <c r="H405" s="1">
        <v>1</v>
      </c>
      <c r="I405" s="1">
        <v>48155.29</v>
      </c>
      <c r="J405" s="1">
        <v>0</v>
      </c>
      <c r="K405">
        <f t="shared" si="6"/>
        <v>1</v>
      </c>
    </row>
    <row r="406" spans="1:11" x14ac:dyDescent="0.35">
      <c r="A406" s="1">
        <v>405</v>
      </c>
      <c r="B406" s="1">
        <v>67</v>
      </c>
      <c r="C406" s="1" t="s">
        <v>10</v>
      </c>
      <c r="D406" s="1">
        <v>70</v>
      </c>
      <c r="E406" s="1">
        <v>18740.18</v>
      </c>
      <c r="F406" s="1">
        <v>3</v>
      </c>
      <c r="G406" s="1">
        <v>1</v>
      </c>
      <c r="H406" s="1">
        <v>0</v>
      </c>
      <c r="I406" s="1">
        <v>133441.37</v>
      </c>
      <c r="J406" s="1">
        <v>0</v>
      </c>
      <c r="K406">
        <f t="shared" si="6"/>
        <v>1</v>
      </c>
    </row>
    <row r="407" spans="1:11" x14ac:dyDescent="0.35">
      <c r="A407" s="1">
        <v>406</v>
      </c>
      <c r="B407" s="1">
        <v>49</v>
      </c>
      <c r="C407" s="1" t="s">
        <v>10</v>
      </c>
      <c r="D407" s="1">
        <v>28</v>
      </c>
      <c r="E407" s="1">
        <v>23700.32</v>
      </c>
      <c r="F407" s="1">
        <v>2</v>
      </c>
      <c r="G407" s="1">
        <v>1</v>
      </c>
      <c r="H407" s="1">
        <v>1</v>
      </c>
      <c r="I407" s="1">
        <v>31324.21</v>
      </c>
      <c r="J407" s="1">
        <v>0</v>
      </c>
      <c r="K407">
        <f t="shared" si="6"/>
        <v>1</v>
      </c>
    </row>
    <row r="408" spans="1:11" x14ac:dyDescent="0.35">
      <c r="A408" s="1">
        <v>407</v>
      </c>
      <c r="B408" s="1">
        <v>64</v>
      </c>
      <c r="C408" s="1" t="s">
        <v>11</v>
      </c>
      <c r="D408" s="1">
        <v>26</v>
      </c>
      <c r="E408" s="1">
        <v>22206.39</v>
      </c>
      <c r="F408" s="1">
        <v>2</v>
      </c>
      <c r="G408" s="1">
        <v>0</v>
      </c>
      <c r="H408" s="1">
        <v>0</v>
      </c>
      <c r="I408" s="1">
        <v>83359.98</v>
      </c>
      <c r="J408" s="1">
        <v>0</v>
      </c>
      <c r="K408">
        <f t="shared" si="6"/>
        <v>1</v>
      </c>
    </row>
    <row r="409" spans="1:11" x14ac:dyDescent="0.35">
      <c r="A409" s="1">
        <v>408</v>
      </c>
      <c r="B409" s="1">
        <v>39</v>
      </c>
      <c r="C409" s="1" t="s">
        <v>11</v>
      </c>
      <c r="D409" s="1">
        <v>25</v>
      </c>
      <c r="E409" s="1">
        <v>49742.9</v>
      </c>
      <c r="F409" s="1">
        <v>2</v>
      </c>
      <c r="G409" s="1">
        <v>0</v>
      </c>
      <c r="H409" s="1">
        <v>0</v>
      </c>
      <c r="I409" s="1">
        <v>109884.09</v>
      </c>
      <c r="J409" s="1">
        <v>0</v>
      </c>
      <c r="K409">
        <f t="shared" si="6"/>
        <v>1</v>
      </c>
    </row>
    <row r="410" spans="1:11" x14ac:dyDescent="0.35">
      <c r="A410" s="1">
        <v>409</v>
      </c>
      <c r="B410" s="1">
        <v>40</v>
      </c>
      <c r="C410" s="1" t="s">
        <v>11</v>
      </c>
      <c r="D410" s="1">
        <v>12</v>
      </c>
      <c r="E410" s="1">
        <v>27269.06</v>
      </c>
      <c r="F410" s="1">
        <v>3</v>
      </c>
      <c r="G410" s="1">
        <v>0</v>
      </c>
      <c r="H410" s="1">
        <v>0</v>
      </c>
      <c r="I410" s="1">
        <v>54027.64</v>
      </c>
      <c r="J410" s="1">
        <v>0</v>
      </c>
      <c r="K410">
        <f t="shared" si="6"/>
        <v>1</v>
      </c>
    </row>
    <row r="411" spans="1:11" x14ac:dyDescent="0.35">
      <c r="A411" s="1">
        <v>410</v>
      </c>
      <c r="B411" s="1">
        <v>19</v>
      </c>
      <c r="C411" s="1" t="s">
        <v>11</v>
      </c>
      <c r="D411" s="1">
        <v>5</v>
      </c>
      <c r="E411" s="1">
        <v>4410.09</v>
      </c>
      <c r="F411" s="1">
        <v>4</v>
      </c>
      <c r="G411" s="1">
        <v>1</v>
      </c>
      <c r="H411" s="1">
        <v>0</v>
      </c>
      <c r="I411" s="1">
        <v>101151.3</v>
      </c>
      <c r="J411" s="1">
        <v>1</v>
      </c>
      <c r="K411">
        <f t="shared" si="6"/>
        <v>1</v>
      </c>
    </row>
    <row r="412" spans="1:11" x14ac:dyDescent="0.35">
      <c r="A412" s="1">
        <v>411</v>
      </c>
      <c r="B412" s="1">
        <v>44</v>
      </c>
      <c r="C412" s="1" t="s">
        <v>10</v>
      </c>
      <c r="D412" s="1">
        <v>48</v>
      </c>
      <c r="E412" s="1">
        <v>30343.87</v>
      </c>
      <c r="F412" s="1">
        <v>3</v>
      </c>
      <c r="G412" s="1">
        <v>1</v>
      </c>
      <c r="H412" s="1">
        <v>1</v>
      </c>
      <c r="I412" s="1">
        <v>127820.07</v>
      </c>
      <c r="J412" s="1">
        <v>0</v>
      </c>
      <c r="K412">
        <f t="shared" si="6"/>
        <v>1</v>
      </c>
    </row>
    <row r="413" spans="1:11" x14ac:dyDescent="0.35">
      <c r="A413" s="1">
        <v>412</v>
      </c>
      <c r="B413" s="1">
        <v>59</v>
      </c>
      <c r="C413" s="1" t="s">
        <v>10</v>
      </c>
      <c r="D413" s="1">
        <v>37</v>
      </c>
      <c r="E413" s="1">
        <v>7579.21</v>
      </c>
      <c r="F413" s="1">
        <v>4</v>
      </c>
      <c r="G413" s="1">
        <v>1</v>
      </c>
      <c r="H413" s="1">
        <v>0</v>
      </c>
      <c r="I413" s="1">
        <v>44743.81</v>
      </c>
      <c r="J413" s="1">
        <v>0</v>
      </c>
      <c r="K413">
        <f t="shared" si="6"/>
        <v>1</v>
      </c>
    </row>
    <row r="414" spans="1:11" x14ac:dyDescent="0.35">
      <c r="A414" s="1">
        <v>413</v>
      </c>
      <c r="B414" s="1">
        <v>19</v>
      </c>
      <c r="C414" s="1" t="s">
        <v>10</v>
      </c>
      <c r="D414" s="1">
        <v>44</v>
      </c>
      <c r="E414" s="1">
        <v>1546.88</v>
      </c>
      <c r="F414" s="1">
        <v>2</v>
      </c>
      <c r="G414" s="1">
        <v>0</v>
      </c>
      <c r="H414" s="1">
        <v>1</v>
      </c>
      <c r="I414" s="1">
        <v>139238.68</v>
      </c>
      <c r="J414" s="1">
        <v>0</v>
      </c>
      <c r="K414">
        <f t="shared" si="6"/>
        <v>1</v>
      </c>
    </row>
    <row r="415" spans="1:11" x14ac:dyDescent="0.35">
      <c r="A415" s="1">
        <v>414</v>
      </c>
      <c r="B415" s="1">
        <v>43</v>
      </c>
      <c r="C415" s="1" t="s">
        <v>10</v>
      </c>
      <c r="D415" s="1">
        <v>15</v>
      </c>
      <c r="E415" s="1">
        <v>48537.11</v>
      </c>
      <c r="F415" s="1">
        <v>1</v>
      </c>
      <c r="G415" s="1">
        <v>1</v>
      </c>
      <c r="H415" s="1">
        <v>1</v>
      </c>
      <c r="I415" s="1">
        <v>91962.61</v>
      </c>
      <c r="J415" s="1">
        <v>0</v>
      </c>
      <c r="K415">
        <f t="shared" si="6"/>
        <v>1</v>
      </c>
    </row>
    <row r="416" spans="1:11" x14ac:dyDescent="0.35">
      <c r="A416" s="1">
        <v>415</v>
      </c>
      <c r="B416" s="1">
        <v>34</v>
      </c>
      <c r="C416" s="1" t="s">
        <v>11</v>
      </c>
      <c r="D416" s="1">
        <v>43</v>
      </c>
      <c r="E416" s="1">
        <v>38676.94</v>
      </c>
      <c r="F416" s="1">
        <v>2</v>
      </c>
      <c r="G416" s="1">
        <v>0</v>
      </c>
      <c r="H416" s="1">
        <v>1</v>
      </c>
      <c r="I416" s="1">
        <v>58900.160000000003</v>
      </c>
      <c r="J416" s="1">
        <v>0</v>
      </c>
      <c r="K416">
        <f t="shared" si="6"/>
        <v>1</v>
      </c>
    </row>
    <row r="417" spans="1:11" x14ac:dyDescent="0.35">
      <c r="A417" s="1">
        <v>416</v>
      </c>
      <c r="B417" s="1">
        <v>57</v>
      </c>
      <c r="C417" s="1" t="s">
        <v>10</v>
      </c>
      <c r="D417" s="1">
        <v>48</v>
      </c>
      <c r="E417" s="1">
        <v>49005.45</v>
      </c>
      <c r="F417" s="1">
        <v>4</v>
      </c>
      <c r="G417" s="1">
        <v>1</v>
      </c>
      <c r="H417" s="1">
        <v>1</v>
      </c>
      <c r="I417" s="1">
        <v>76011.58</v>
      </c>
      <c r="J417" s="1">
        <v>0</v>
      </c>
      <c r="K417">
        <f t="shared" si="6"/>
        <v>1</v>
      </c>
    </row>
    <row r="418" spans="1:11" x14ac:dyDescent="0.35">
      <c r="A418" s="1">
        <v>417</v>
      </c>
      <c r="B418" s="1">
        <v>50</v>
      </c>
      <c r="C418" s="1" t="s">
        <v>10</v>
      </c>
      <c r="D418" s="1">
        <v>70</v>
      </c>
      <c r="E418" s="1">
        <v>23893.919999999998</v>
      </c>
      <c r="F418" s="1">
        <v>3</v>
      </c>
      <c r="G418" s="1">
        <v>0</v>
      </c>
      <c r="H418" s="1">
        <v>1</v>
      </c>
      <c r="I418" s="1">
        <v>60584.94</v>
      </c>
      <c r="J418" s="1">
        <v>0</v>
      </c>
      <c r="K418">
        <f t="shared" si="6"/>
        <v>1</v>
      </c>
    </row>
    <row r="419" spans="1:11" x14ac:dyDescent="0.35">
      <c r="A419" s="1">
        <v>418</v>
      </c>
      <c r="B419" s="1">
        <v>26</v>
      </c>
      <c r="C419" s="1" t="s">
        <v>11</v>
      </c>
      <c r="D419" s="1">
        <v>46</v>
      </c>
      <c r="E419" s="1">
        <v>26612.880000000001</v>
      </c>
      <c r="F419" s="1">
        <v>2</v>
      </c>
      <c r="G419" s="1">
        <v>0</v>
      </c>
      <c r="H419" s="1">
        <v>0</v>
      </c>
      <c r="I419" s="1">
        <v>114264.45</v>
      </c>
      <c r="J419" s="1">
        <v>0</v>
      </c>
      <c r="K419">
        <f t="shared" si="6"/>
        <v>1</v>
      </c>
    </row>
    <row r="420" spans="1:11" x14ac:dyDescent="0.35">
      <c r="A420" s="1">
        <v>419</v>
      </c>
      <c r="B420" s="1">
        <v>60</v>
      </c>
      <c r="C420" s="1" t="s">
        <v>11</v>
      </c>
      <c r="D420" s="1">
        <v>43</v>
      </c>
      <c r="E420" s="1">
        <v>8416.85</v>
      </c>
      <c r="F420" s="1">
        <v>3</v>
      </c>
      <c r="G420" s="1">
        <v>0</v>
      </c>
      <c r="H420" s="1">
        <v>0</v>
      </c>
      <c r="I420" s="1">
        <v>123519.09</v>
      </c>
      <c r="J420" s="1">
        <v>0</v>
      </c>
      <c r="K420">
        <f t="shared" si="6"/>
        <v>1</v>
      </c>
    </row>
    <row r="421" spans="1:11" x14ac:dyDescent="0.35">
      <c r="A421" s="1">
        <v>420</v>
      </c>
      <c r="B421" s="1">
        <v>65</v>
      </c>
      <c r="C421" s="1" t="s">
        <v>11</v>
      </c>
      <c r="D421" s="1">
        <v>21</v>
      </c>
      <c r="E421" s="1">
        <v>12345.37</v>
      </c>
      <c r="F421" s="1">
        <v>3</v>
      </c>
      <c r="G421" s="1">
        <v>1</v>
      </c>
      <c r="H421" s="1">
        <v>0</v>
      </c>
      <c r="I421" s="1">
        <v>128281.86</v>
      </c>
      <c r="J421" s="1">
        <v>0</v>
      </c>
      <c r="K421">
        <f t="shared" si="6"/>
        <v>1</v>
      </c>
    </row>
    <row r="422" spans="1:11" x14ac:dyDescent="0.35">
      <c r="A422" s="1">
        <v>421</v>
      </c>
      <c r="B422" s="1">
        <v>56</v>
      </c>
      <c r="C422" s="1" t="s">
        <v>11</v>
      </c>
      <c r="D422" s="1">
        <v>23</v>
      </c>
      <c r="E422" s="1">
        <v>41927.46</v>
      </c>
      <c r="F422" s="1">
        <v>3</v>
      </c>
      <c r="G422" s="1">
        <v>0</v>
      </c>
      <c r="H422" s="1">
        <v>0</v>
      </c>
      <c r="I422" s="1">
        <v>148149.87</v>
      </c>
      <c r="J422" s="1">
        <v>0</v>
      </c>
      <c r="K422">
        <f t="shared" si="6"/>
        <v>1</v>
      </c>
    </row>
    <row r="423" spans="1:11" x14ac:dyDescent="0.35">
      <c r="A423" s="1">
        <v>422</v>
      </c>
      <c r="B423" s="1">
        <v>46</v>
      </c>
      <c r="C423" s="1" t="s">
        <v>10</v>
      </c>
      <c r="D423" s="1">
        <v>47</v>
      </c>
      <c r="E423" s="1">
        <v>17809.28</v>
      </c>
      <c r="F423" s="1">
        <v>2</v>
      </c>
      <c r="G423" s="1">
        <v>1</v>
      </c>
      <c r="H423" s="1">
        <v>1</v>
      </c>
      <c r="I423" s="1">
        <v>122866.96</v>
      </c>
      <c r="J423" s="1">
        <v>0</v>
      </c>
      <c r="K423">
        <f t="shared" si="6"/>
        <v>1</v>
      </c>
    </row>
    <row r="424" spans="1:11" x14ac:dyDescent="0.35">
      <c r="A424" s="1">
        <v>423</v>
      </c>
      <c r="B424" s="1">
        <v>59</v>
      </c>
      <c r="C424" s="1" t="s">
        <v>10</v>
      </c>
      <c r="D424" s="1">
        <v>15</v>
      </c>
      <c r="E424" s="1">
        <v>41340.75</v>
      </c>
      <c r="F424" s="1">
        <v>3</v>
      </c>
      <c r="G424" s="1">
        <v>1</v>
      </c>
      <c r="H424" s="1">
        <v>0</v>
      </c>
      <c r="I424" s="1">
        <v>98179.93</v>
      </c>
      <c r="J424" s="1">
        <v>0</v>
      </c>
      <c r="K424">
        <f t="shared" si="6"/>
        <v>1</v>
      </c>
    </row>
    <row r="425" spans="1:11" x14ac:dyDescent="0.35">
      <c r="A425" s="1">
        <v>424</v>
      </c>
      <c r="B425" s="1">
        <v>43</v>
      </c>
      <c r="C425" s="1" t="s">
        <v>11</v>
      </c>
      <c r="D425" s="1">
        <v>25</v>
      </c>
      <c r="E425" s="1">
        <v>35450.69</v>
      </c>
      <c r="F425" s="1">
        <v>3</v>
      </c>
      <c r="G425" s="1">
        <v>1</v>
      </c>
      <c r="H425" s="1">
        <v>1</v>
      </c>
      <c r="I425" s="1">
        <v>64098.64</v>
      </c>
      <c r="J425" s="1">
        <v>0</v>
      </c>
      <c r="K425">
        <f t="shared" si="6"/>
        <v>1</v>
      </c>
    </row>
    <row r="426" spans="1:11" x14ac:dyDescent="0.35">
      <c r="A426" s="1">
        <v>425</v>
      </c>
      <c r="B426" s="1">
        <v>52</v>
      </c>
      <c r="C426" s="1" t="s">
        <v>10</v>
      </c>
      <c r="D426" s="1">
        <v>36</v>
      </c>
      <c r="E426" s="1">
        <v>8858.5499999999993</v>
      </c>
      <c r="F426" s="1">
        <v>2</v>
      </c>
      <c r="G426" s="1">
        <v>1</v>
      </c>
      <c r="H426" s="1">
        <v>1</v>
      </c>
      <c r="I426" s="1">
        <v>90797.41</v>
      </c>
      <c r="J426" s="1">
        <v>0</v>
      </c>
      <c r="K426">
        <f t="shared" si="6"/>
        <v>1</v>
      </c>
    </row>
    <row r="427" spans="1:11" x14ac:dyDescent="0.35">
      <c r="A427" s="1">
        <v>426</v>
      </c>
      <c r="B427" s="1">
        <v>67</v>
      </c>
      <c r="C427" s="1" t="s">
        <v>10</v>
      </c>
      <c r="D427" s="1">
        <v>51</v>
      </c>
      <c r="E427" s="1">
        <v>25372.32</v>
      </c>
      <c r="F427" s="1">
        <v>3</v>
      </c>
      <c r="G427" s="1">
        <v>1</v>
      </c>
      <c r="H427" s="1">
        <v>0</v>
      </c>
      <c r="I427" s="1">
        <v>25338.86</v>
      </c>
      <c r="J427" s="1">
        <v>0</v>
      </c>
      <c r="K427">
        <f t="shared" si="6"/>
        <v>1</v>
      </c>
    </row>
    <row r="428" spans="1:11" x14ac:dyDescent="0.35">
      <c r="A428" s="1">
        <v>427</v>
      </c>
      <c r="B428" s="1">
        <v>42</v>
      </c>
      <c r="C428" s="1" t="s">
        <v>10</v>
      </c>
      <c r="D428" s="1">
        <v>15</v>
      </c>
      <c r="E428" s="1">
        <v>33869.370000000003</v>
      </c>
      <c r="F428" s="1">
        <v>2</v>
      </c>
      <c r="G428" s="1">
        <v>0</v>
      </c>
      <c r="H428" s="1">
        <v>0</v>
      </c>
      <c r="I428" s="1">
        <v>116827.26</v>
      </c>
      <c r="J428" s="1">
        <v>0</v>
      </c>
      <c r="K428">
        <f t="shared" si="6"/>
        <v>1</v>
      </c>
    </row>
    <row r="429" spans="1:11" x14ac:dyDescent="0.35">
      <c r="A429" s="1">
        <v>428</v>
      </c>
      <c r="B429" s="1">
        <v>41</v>
      </c>
      <c r="C429" s="1" t="s">
        <v>11</v>
      </c>
      <c r="D429" s="1">
        <v>68</v>
      </c>
      <c r="E429" s="1">
        <v>11751.86</v>
      </c>
      <c r="F429" s="1">
        <v>4</v>
      </c>
      <c r="G429" s="1">
        <v>1</v>
      </c>
      <c r="H429" s="1">
        <v>0</v>
      </c>
      <c r="I429" s="1">
        <v>77974.22</v>
      </c>
      <c r="J429" s="1">
        <v>0</v>
      </c>
      <c r="K429">
        <f t="shared" si="6"/>
        <v>1</v>
      </c>
    </row>
    <row r="430" spans="1:11" x14ac:dyDescent="0.35">
      <c r="A430" s="1">
        <v>429</v>
      </c>
      <c r="B430" s="1">
        <v>30</v>
      </c>
      <c r="C430" s="1" t="s">
        <v>10</v>
      </c>
      <c r="D430" s="1">
        <v>21</v>
      </c>
      <c r="E430" s="1">
        <v>41534.43</v>
      </c>
      <c r="F430" s="1">
        <v>4</v>
      </c>
      <c r="G430" s="1">
        <v>1</v>
      </c>
      <c r="H430" s="1">
        <v>0</v>
      </c>
      <c r="I430" s="1">
        <v>22603.02</v>
      </c>
      <c r="J430" s="1">
        <v>0</v>
      </c>
      <c r="K430">
        <f t="shared" si="6"/>
        <v>1</v>
      </c>
    </row>
    <row r="431" spans="1:11" x14ac:dyDescent="0.35">
      <c r="A431" s="1">
        <v>430</v>
      </c>
      <c r="B431" s="1">
        <v>24</v>
      </c>
      <c r="C431" s="1" t="s">
        <v>11</v>
      </c>
      <c r="D431" s="1">
        <v>13</v>
      </c>
      <c r="E431" s="1">
        <v>27241.38</v>
      </c>
      <c r="F431" s="1">
        <v>4</v>
      </c>
      <c r="G431" s="1">
        <v>1</v>
      </c>
      <c r="H431" s="1">
        <v>1</v>
      </c>
      <c r="I431" s="1">
        <v>28125.9</v>
      </c>
      <c r="J431" s="1">
        <v>0</v>
      </c>
      <c r="K431">
        <f t="shared" si="6"/>
        <v>1</v>
      </c>
    </row>
    <row r="432" spans="1:11" x14ac:dyDescent="0.35">
      <c r="A432" s="1">
        <v>431</v>
      </c>
      <c r="B432" s="1">
        <v>53</v>
      </c>
      <c r="C432" s="1" t="s">
        <v>10</v>
      </c>
      <c r="D432" s="1">
        <v>19</v>
      </c>
      <c r="E432" s="1">
        <v>8262.1</v>
      </c>
      <c r="F432" s="1">
        <v>3</v>
      </c>
      <c r="G432" s="1">
        <v>1</v>
      </c>
      <c r="H432" s="1">
        <v>1</v>
      </c>
      <c r="I432" s="1">
        <v>70370.64</v>
      </c>
      <c r="J432" s="1">
        <v>0</v>
      </c>
      <c r="K432">
        <f t="shared" si="6"/>
        <v>1</v>
      </c>
    </row>
    <row r="433" spans="1:11" x14ac:dyDescent="0.35">
      <c r="A433" s="1">
        <v>432</v>
      </c>
      <c r="B433" s="1">
        <v>62</v>
      </c>
      <c r="C433" s="1" t="s">
        <v>10</v>
      </c>
      <c r="D433" s="1">
        <v>34</v>
      </c>
      <c r="E433" s="1">
        <v>29149.22</v>
      </c>
      <c r="F433" s="1">
        <v>1</v>
      </c>
      <c r="G433" s="1">
        <v>1</v>
      </c>
      <c r="H433" s="1">
        <v>0</v>
      </c>
      <c r="I433" s="1">
        <v>95844.800000000003</v>
      </c>
      <c r="J433" s="1">
        <v>0</v>
      </c>
      <c r="K433">
        <f t="shared" si="6"/>
        <v>1</v>
      </c>
    </row>
    <row r="434" spans="1:11" x14ac:dyDescent="0.35">
      <c r="A434" s="1">
        <v>433</v>
      </c>
      <c r="B434" s="1">
        <v>37</v>
      </c>
      <c r="C434" s="1" t="s">
        <v>10</v>
      </c>
      <c r="D434" s="1">
        <v>68</v>
      </c>
      <c r="E434" s="1">
        <v>49985.69</v>
      </c>
      <c r="F434" s="1">
        <v>1</v>
      </c>
      <c r="G434" s="1">
        <v>0</v>
      </c>
      <c r="H434" s="1">
        <v>1</v>
      </c>
      <c r="I434" s="1">
        <v>80346.509999999995</v>
      </c>
      <c r="J434" s="1">
        <v>0</v>
      </c>
      <c r="K434">
        <f t="shared" si="6"/>
        <v>1</v>
      </c>
    </row>
    <row r="435" spans="1:11" x14ac:dyDescent="0.35">
      <c r="A435" s="1">
        <v>434</v>
      </c>
      <c r="B435" s="1">
        <v>18</v>
      </c>
      <c r="C435" s="1" t="s">
        <v>11</v>
      </c>
      <c r="D435" s="1">
        <v>52</v>
      </c>
      <c r="E435" s="1">
        <v>7526.07</v>
      </c>
      <c r="F435" s="1">
        <v>3</v>
      </c>
      <c r="G435" s="1">
        <v>0</v>
      </c>
      <c r="H435" s="1">
        <v>1</v>
      </c>
      <c r="I435" s="1">
        <v>100496.56</v>
      </c>
      <c r="J435" s="1">
        <v>0</v>
      </c>
      <c r="K435">
        <f t="shared" si="6"/>
        <v>1</v>
      </c>
    </row>
    <row r="436" spans="1:11" x14ac:dyDescent="0.35">
      <c r="A436" s="1">
        <v>435</v>
      </c>
      <c r="B436" s="1">
        <v>25</v>
      </c>
      <c r="C436" s="1" t="s">
        <v>10</v>
      </c>
      <c r="D436" s="1">
        <v>27</v>
      </c>
      <c r="E436" s="1">
        <v>40837.85</v>
      </c>
      <c r="F436" s="1">
        <v>1</v>
      </c>
      <c r="G436" s="1">
        <v>1</v>
      </c>
      <c r="H436" s="1">
        <v>1</v>
      </c>
      <c r="I436" s="1">
        <v>82438.25</v>
      </c>
      <c r="J436" s="1">
        <v>0</v>
      </c>
      <c r="K436">
        <f t="shared" si="6"/>
        <v>1</v>
      </c>
    </row>
    <row r="437" spans="1:11" x14ac:dyDescent="0.35">
      <c r="A437" s="1">
        <v>436</v>
      </c>
      <c r="B437" s="1">
        <v>63</v>
      </c>
      <c r="C437" s="1" t="s">
        <v>11</v>
      </c>
      <c r="D437" s="1">
        <v>29</v>
      </c>
      <c r="E437" s="1">
        <v>10365.450000000001</v>
      </c>
      <c r="F437" s="1">
        <v>2</v>
      </c>
      <c r="G437" s="1">
        <v>0</v>
      </c>
      <c r="H437" s="1">
        <v>0</v>
      </c>
      <c r="I437" s="1">
        <v>106021.5</v>
      </c>
      <c r="J437" s="1">
        <v>0</v>
      </c>
      <c r="K437">
        <f t="shared" si="6"/>
        <v>1</v>
      </c>
    </row>
    <row r="438" spans="1:11" x14ac:dyDescent="0.35">
      <c r="A438" s="1">
        <v>437</v>
      </c>
      <c r="B438" s="1">
        <v>33</v>
      </c>
      <c r="C438" s="1" t="s">
        <v>11</v>
      </c>
      <c r="D438" s="1">
        <v>28</v>
      </c>
      <c r="E438" s="1">
        <v>39119.42</v>
      </c>
      <c r="F438" s="1">
        <v>1</v>
      </c>
      <c r="G438" s="1">
        <v>0</v>
      </c>
      <c r="H438" s="1">
        <v>1</v>
      </c>
      <c r="I438" s="1">
        <v>48486.39</v>
      </c>
      <c r="J438" s="1">
        <v>0</v>
      </c>
      <c r="K438">
        <f t="shared" si="6"/>
        <v>1</v>
      </c>
    </row>
    <row r="439" spans="1:11" x14ac:dyDescent="0.35">
      <c r="A439" s="1">
        <v>438</v>
      </c>
      <c r="B439" s="1">
        <v>31</v>
      </c>
      <c r="C439" s="1" t="s">
        <v>11</v>
      </c>
      <c r="D439" s="1">
        <v>35</v>
      </c>
      <c r="E439" s="1">
        <v>36728.9</v>
      </c>
      <c r="F439" s="1">
        <v>3</v>
      </c>
      <c r="G439" s="1">
        <v>1</v>
      </c>
      <c r="H439" s="1">
        <v>0</v>
      </c>
      <c r="I439" s="1">
        <v>34669.61</v>
      </c>
      <c r="J439" s="1">
        <v>0</v>
      </c>
      <c r="K439">
        <f t="shared" si="6"/>
        <v>1</v>
      </c>
    </row>
    <row r="440" spans="1:11" x14ac:dyDescent="0.35">
      <c r="A440" s="1">
        <v>439</v>
      </c>
      <c r="B440" s="1">
        <v>29</v>
      </c>
      <c r="C440" s="1" t="s">
        <v>10</v>
      </c>
      <c r="D440" s="1">
        <v>8</v>
      </c>
      <c r="E440" s="1">
        <v>15024.47</v>
      </c>
      <c r="F440" s="1">
        <v>3</v>
      </c>
      <c r="G440" s="1">
        <v>0</v>
      </c>
      <c r="H440" s="1">
        <v>0</v>
      </c>
      <c r="I440" s="1">
        <v>97536.41</v>
      </c>
      <c r="J440" s="1">
        <v>0</v>
      </c>
      <c r="K440">
        <f t="shared" si="6"/>
        <v>1</v>
      </c>
    </row>
    <row r="441" spans="1:11" x14ac:dyDescent="0.35">
      <c r="A441" s="1">
        <v>440</v>
      </c>
      <c r="B441" s="1">
        <v>68</v>
      </c>
      <c r="C441" s="1" t="s">
        <v>10</v>
      </c>
      <c r="D441" s="1">
        <v>16</v>
      </c>
      <c r="E441" s="1">
        <v>16291.16</v>
      </c>
      <c r="F441" s="1">
        <v>2</v>
      </c>
      <c r="G441" s="1">
        <v>1</v>
      </c>
      <c r="H441" s="1">
        <v>1</v>
      </c>
      <c r="I441" s="1">
        <v>83009.64</v>
      </c>
      <c r="J441" s="1">
        <v>0</v>
      </c>
      <c r="K441">
        <f t="shared" si="6"/>
        <v>1</v>
      </c>
    </row>
    <row r="442" spans="1:11" x14ac:dyDescent="0.35">
      <c r="A442" s="1">
        <v>441</v>
      </c>
      <c r="B442" s="1">
        <v>40</v>
      </c>
      <c r="C442" s="1" t="s">
        <v>10</v>
      </c>
      <c r="D442" s="1">
        <v>36</v>
      </c>
      <c r="E442" s="1">
        <v>39626.07</v>
      </c>
      <c r="F442" s="1">
        <v>4</v>
      </c>
      <c r="G442" s="1">
        <v>0</v>
      </c>
      <c r="H442" s="1">
        <v>1</v>
      </c>
      <c r="I442" s="1">
        <v>23492.799999999999</v>
      </c>
      <c r="J442" s="1">
        <v>0</v>
      </c>
      <c r="K442">
        <f t="shared" si="6"/>
        <v>1</v>
      </c>
    </row>
    <row r="443" spans="1:11" x14ac:dyDescent="0.35">
      <c r="A443" s="1">
        <v>442</v>
      </c>
      <c r="B443" s="1">
        <v>32</v>
      </c>
      <c r="C443" s="1" t="s">
        <v>10</v>
      </c>
      <c r="D443" s="1">
        <v>30</v>
      </c>
      <c r="E443" s="1">
        <v>23072.28</v>
      </c>
      <c r="F443" s="1">
        <v>3</v>
      </c>
      <c r="G443" s="1">
        <v>0</v>
      </c>
      <c r="H443" s="1">
        <v>0</v>
      </c>
      <c r="I443" s="1">
        <v>69462.649999999994</v>
      </c>
      <c r="J443" s="1">
        <v>0</v>
      </c>
      <c r="K443">
        <f t="shared" si="6"/>
        <v>1</v>
      </c>
    </row>
    <row r="444" spans="1:11" x14ac:dyDescent="0.35">
      <c r="A444" s="1">
        <v>443</v>
      </c>
      <c r="B444" s="1">
        <v>45</v>
      </c>
      <c r="C444" s="1" t="s">
        <v>11</v>
      </c>
      <c r="D444" s="1">
        <v>18</v>
      </c>
      <c r="E444" s="1">
        <v>36540.9</v>
      </c>
      <c r="F444" s="1">
        <v>2</v>
      </c>
      <c r="G444" s="1">
        <v>0</v>
      </c>
      <c r="H444" s="1">
        <v>1</v>
      </c>
      <c r="I444" s="1">
        <v>33796.33</v>
      </c>
      <c r="J444" s="1">
        <v>0</v>
      </c>
      <c r="K444">
        <f t="shared" si="6"/>
        <v>1</v>
      </c>
    </row>
    <row r="445" spans="1:11" x14ac:dyDescent="0.35">
      <c r="A445" s="1">
        <v>444</v>
      </c>
      <c r="B445" s="1">
        <v>51</v>
      </c>
      <c r="C445" s="1" t="s">
        <v>11</v>
      </c>
      <c r="D445" s="1">
        <v>2</v>
      </c>
      <c r="E445" s="1">
        <v>7399.21</v>
      </c>
      <c r="F445" s="1">
        <v>1</v>
      </c>
      <c r="G445" s="1">
        <v>1</v>
      </c>
      <c r="H445" s="1">
        <v>1</v>
      </c>
      <c r="I445" s="1">
        <v>89076.39</v>
      </c>
      <c r="J445" s="1">
        <v>0</v>
      </c>
      <c r="K445">
        <f t="shared" si="6"/>
        <v>1</v>
      </c>
    </row>
    <row r="446" spans="1:11" x14ac:dyDescent="0.35">
      <c r="A446" s="1">
        <v>445</v>
      </c>
      <c r="B446" s="1">
        <v>19</v>
      </c>
      <c r="C446" s="1" t="s">
        <v>11</v>
      </c>
      <c r="D446" s="1">
        <v>49</v>
      </c>
      <c r="E446" s="1">
        <v>42627.89</v>
      </c>
      <c r="F446" s="1">
        <v>1</v>
      </c>
      <c r="G446" s="1">
        <v>0</v>
      </c>
      <c r="H446" s="1">
        <v>0</v>
      </c>
      <c r="I446" s="1">
        <v>71451.100000000006</v>
      </c>
      <c r="J446" s="1">
        <v>0</v>
      </c>
      <c r="K446">
        <f t="shared" si="6"/>
        <v>1</v>
      </c>
    </row>
    <row r="447" spans="1:11" x14ac:dyDescent="0.35">
      <c r="A447" s="1">
        <v>446</v>
      </c>
      <c r="B447" s="1">
        <v>49</v>
      </c>
      <c r="C447" s="1" t="s">
        <v>10</v>
      </c>
      <c r="D447" s="1">
        <v>4</v>
      </c>
      <c r="E447" s="1">
        <v>35544.239999999998</v>
      </c>
      <c r="F447" s="1">
        <v>2</v>
      </c>
      <c r="G447" s="1">
        <v>0</v>
      </c>
      <c r="H447" s="1">
        <v>0</v>
      </c>
      <c r="I447" s="1">
        <v>99709.75</v>
      </c>
      <c r="J447" s="1">
        <v>0</v>
      </c>
      <c r="K447">
        <f t="shared" si="6"/>
        <v>1</v>
      </c>
    </row>
    <row r="448" spans="1:11" x14ac:dyDescent="0.35">
      <c r="A448" s="1">
        <v>447</v>
      </c>
      <c r="B448" s="1">
        <v>40</v>
      </c>
      <c r="C448" s="1" t="s">
        <v>11</v>
      </c>
      <c r="D448" s="1">
        <v>7</v>
      </c>
      <c r="E448" s="1">
        <v>45347.14</v>
      </c>
      <c r="F448" s="1">
        <v>2</v>
      </c>
      <c r="G448" s="1">
        <v>1</v>
      </c>
      <c r="H448" s="1">
        <v>0</v>
      </c>
      <c r="I448" s="1">
        <v>124728.29</v>
      </c>
      <c r="J448" s="1">
        <v>0</v>
      </c>
      <c r="K448">
        <f t="shared" si="6"/>
        <v>1</v>
      </c>
    </row>
    <row r="449" spans="1:11" x14ac:dyDescent="0.35">
      <c r="A449" s="1">
        <v>448</v>
      </c>
      <c r="B449" s="1">
        <v>39</v>
      </c>
      <c r="C449" s="1" t="s">
        <v>10</v>
      </c>
      <c r="D449" s="1">
        <v>39</v>
      </c>
      <c r="E449" s="1">
        <v>6618.62</v>
      </c>
      <c r="F449" s="1">
        <v>3</v>
      </c>
      <c r="G449" s="1">
        <v>1</v>
      </c>
      <c r="H449" s="1">
        <v>0</v>
      </c>
      <c r="I449" s="1">
        <v>58956.93</v>
      </c>
      <c r="J449" s="1">
        <v>0</v>
      </c>
      <c r="K449">
        <f t="shared" si="6"/>
        <v>1</v>
      </c>
    </row>
    <row r="450" spans="1:11" x14ac:dyDescent="0.35">
      <c r="A450" s="1">
        <v>449</v>
      </c>
      <c r="B450" s="1">
        <v>68</v>
      </c>
      <c r="C450" s="1" t="s">
        <v>11</v>
      </c>
      <c r="D450" s="1">
        <v>13</v>
      </c>
      <c r="E450" s="1">
        <v>29650.73</v>
      </c>
      <c r="F450" s="1">
        <v>1</v>
      </c>
      <c r="G450" s="1">
        <v>0</v>
      </c>
      <c r="H450" s="1">
        <v>1</v>
      </c>
      <c r="I450" s="1">
        <v>145073.26999999999</v>
      </c>
      <c r="J450" s="1">
        <v>0</v>
      </c>
      <c r="K450">
        <f t="shared" si="6"/>
        <v>1</v>
      </c>
    </row>
    <row r="451" spans="1:11" x14ac:dyDescent="0.35">
      <c r="A451" s="1">
        <v>450</v>
      </c>
      <c r="B451" s="1">
        <v>42</v>
      </c>
      <c r="C451" s="1" t="s">
        <v>10</v>
      </c>
      <c r="D451" s="1">
        <v>31</v>
      </c>
      <c r="E451" s="1">
        <v>29956.03</v>
      </c>
      <c r="F451" s="1">
        <v>2</v>
      </c>
      <c r="G451" s="1">
        <v>1</v>
      </c>
      <c r="H451" s="1">
        <v>1</v>
      </c>
      <c r="I451" s="1">
        <v>89632.49</v>
      </c>
      <c r="J451" s="1">
        <v>0</v>
      </c>
      <c r="K451">
        <f t="shared" ref="K451:K514" si="7">COUNTIF($A$2:$A$1001,A451)</f>
        <v>1</v>
      </c>
    </row>
    <row r="452" spans="1:11" x14ac:dyDescent="0.35">
      <c r="A452" s="1">
        <v>451</v>
      </c>
      <c r="B452" s="1">
        <v>39</v>
      </c>
      <c r="C452" s="1" t="s">
        <v>10</v>
      </c>
      <c r="D452" s="1">
        <v>71</v>
      </c>
      <c r="E452" s="1">
        <v>17673.04</v>
      </c>
      <c r="F452" s="1">
        <v>1</v>
      </c>
      <c r="G452" s="1">
        <v>0</v>
      </c>
      <c r="H452" s="1">
        <v>0</v>
      </c>
      <c r="I452" s="1">
        <v>100377.8</v>
      </c>
      <c r="J452" s="1">
        <v>0</v>
      </c>
      <c r="K452">
        <f t="shared" si="7"/>
        <v>1</v>
      </c>
    </row>
    <row r="453" spans="1:11" x14ac:dyDescent="0.35">
      <c r="A453" s="1">
        <v>452</v>
      </c>
      <c r="B453" s="1">
        <v>39</v>
      </c>
      <c r="C453" s="1" t="s">
        <v>11</v>
      </c>
      <c r="D453" s="1">
        <v>63</v>
      </c>
      <c r="E453" s="1">
        <v>22923.32</v>
      </c>
      <c r="F453" s="1">
        <v>2</v>
      </c>
      <c r="G453" s="1">
        <v>0</v>
      </c>
      <c r="H453" s="1">
        <v>0</v>
      </c>
      <c r="I453" s="1">
        <v>108487.41</v>
      </c>
      <c r="J453" s="1">
        <v>0</v>
      </c>
      <c r="K453">
        <f t="shared" si="7"/>
        <v>1</v>
      </c>
    </row>
    <row r="454" spans="1:11" x14ac:dyDescent="0.35">
      <c r="A454" s="1">
        <v>453</v>
      </c>
      <c r="B454" s="1">
        <v>66</v>
      </c>
      <c r="C454" s="1" t="s">
        <v>11</v>
      </c>
      <c r="D454" s="1">
        <v>56</v>
      </c>
      <c r="E454" s="1">
        <v>1899.08</v>
      </c>
      <c r="F454" s="1">
        <v>1</v>
      </c>
      <c r="G454" s="1">
        <v>1</v>
      </c>
      <c r="H454" s="1">
        <v>0</v>
      </c>
      <c r="I454" s="1">
        <v>106675.1</v>
      </c>
      <c r="J454" s="1">
        <v>0</v>
      </c>
      <c r="K454">
        <f t="shared" si="7"/>
        <v>1</v>
      </c>
    </row>
    <row r="455" spans="1:11" x14ac:dyDescent="0.35">
      <c r="A455" s="1">
        <v>454</v>
      </c>
      <c r="B455" s="1">
        <v>69</v>
      </c>
      <c r="C455" s="1" t="s">
        <v>11</v>
      </c>
      <c r="D455" s="1">
        <v>42</v>
      </c>
      <c r="E455" s="1">
        <v>37293</v>
      </c>
      <c r="F455" s="1">
        <v>4</v>
      </c>
      <c r="G455" s="1">
        <v>1</v>
      </c>
      <c r="H455" s="1">
        <v>1</v>
      </c>
      <c r="I455" s="1">
        <v>86426.2</v>
      </c>
      <c r="J455" s="1">
        <v>0</v>
      </c>
      <c r="K455">
        <f t="shared" si="7"/>
        <v>1</v>
      </c>
    </row>
    <row r="456" spans="1:11" x14ac:dyDescent="0.35">
      <c r="A456" s="1">
        <v>455</v>
      </c>
      <c r="B456" s="1">
        <v>59</v>
      </c>
      <c r="C456" s="1" t="s">
        <v>11</v>
      </c>
      <c r="D456" s="1">
        <v>61</v>
      </c>
      <c r="E456" s="1">
        <v>27466.12</v>
      </c>
      <c r="F456" s="1">
        <v>3</v>
      </c>
      <c r="G456" s="1">
        <v>1</v>
      </c>
      <c r="H456" s="1">
        <v>0</v>
      </c>
      <c r="I456" s="1">
        <v>75739.360000000001</v>
      </c>
      <c r="J456" s="1">
        <v>0</v>
      </c>
      <c r="K456">
        <f t="shared" si="7"/>
        <v>1</v>
      </c>
    </row>
    <row r="457" spans="1:11" x14ac:dyDescent="0.35">
      <c r="A457" s="1">
        <v>456</v>
      </c>
      <c r="B457" s="1">
        <v>23</v>
      </c>
      <c r="C457" s="1" t="s">
        <v>10</v>
      </c>
      <c r="D457" s="1">
        <v>42</v>
      </c>
      <c r="E457" s="1">
        <v>2887.05</v>
      </c>
      <c r="F457" s="1">
        <v>1</v>
      </c>
      <c r="G457" s="1">
        <v>0</v>
      </c>
      <c r="H457" s="1">
        <v>1</v>
      </c>
      <c r="I457" s="1">
        <v>26991.66</v>
      </c>
      <c r="J457" s="1">
        <v>0</v>
      </c>
      <c r="K457">
        <f t="shared" si="7"/>
        <v>1</v>
      </c>
    </row>
    <row r="458" spans="1:11" x14ac:dyDescent="0.35">
      <c r="A458" s="1">
        <v>457</v>
      </c>
      <c r="B458" s="1">
        <v>32</v>
      </c>
      <c r="C458" s="1" t="s">
        <v>11</v>
      </c>
      <c r="D458" s="1">
        <v>56</v>
      </c>
      <c r="E458" s="1">
        <v>34037.79</v>
      </c>
      <c r="F458" s="1">
        <v>4</v>
      </c>
      <c r="G458" s="1">
        <v>1</v>
      </c>
      <c r="H458" s="1">
        <v>0</v>
      </c>
      <c r="I458" s="1">
        <v>22871.16</v>
      </c>
      <c r="J458" s="1">
        <v>0</v>
      </c>
      <c r="K458">
        <f t="shared" si="7"/>
        <v>1</v>
      </c>
    </row>
    <row r="459" spans="1:11" x14ac:dyDescent="0.35">
      <c r="A459" s="1">
        <v>458</v>
      </c>
      <c r="B459" s="1">
        <v>60</v>
      </c>
      <c r="C459" s="1" t="s">
        <v>11</v>
      </c>
      <c r="D459" s="1">
        <v>36</v>
      </c>
      <c r="E459" s="1">
        <v>23339.1</v>
      </c>
      <c r="F459" s="1">
        <v>1</v>
      </c>
      <c r="G459" s="1">
        <v>0</v>
      </c>
      <c r="H459" s="1">
        <v>0</v>
      </c>
      <c r="I459" s="1">
        <v>66534.960000000006</v>
      </c>
      <c r="J459" s="1">
        <v>0</v>
      </c>
      <c r="K459">
        <f t="shared" si="7"/>
        <v>1</v>
      </c>
    </row>
    <row r="460" spans="1:11" x14ac:dyDescent="0.35">
      <c r="A460" s="1">
        <v>459</v>
      </c>
      <c r="B460" s="1">
        <v>54</v>
      </c>
      <c r="C460" s="1" t="s">
        <v>11</v>
      </c>
      <c r="D460" s="1">
        <v>68</v>
      </c>
      <c r="E460" s="1">
        <v>1723.06</v>
      </c>
      <c r="F460" s="1">
        <v>1</v>
      </c>
      <c r="G460" s="1">
        <v>1</v>
      </c>
      <c r="H460" s="1">
        <v>0</v>
      </c>
      <c r="I460" s="1">
        <v>63375.92</v>
      </c>
      <c r="J460" s="1">
        <v>0</v>
      </c>
      <c r="K460">
        <f t="shared" si="7"/>
        <v>1</v>
      </c>
    </row>
    <row r="461" spans="1:11" x14ac:dyDescent="0.35">
      <c r="A461" s="1">
        <v>460</v>
      </c>
      <c r="B461" s="1">
        <v>50</v>
      </c>
      <c r="C461" s="1" t="s">
        <v>10</v>
      </c>
      <c r="D461" s="1">
        <v>7</v>
      </c>
      <c r="E461" s="1">
        <v>48480.39</v>
      </c>
      <c r="F461" s="1">
        <v>4</v>
      </c>
      <c r="G461" s="1">
        <v>0</v>
      </c>
      <c r="H461" s="1">
        <v>1</v>
      </c>
      <c r="I461" s="1">
        <v>70400.37</v>
      </c>
      <c r="J461" s="1">
        <v>0</v>
      </c>
      <c r="K461">
        <f t="shared" si="7"/>
        <v>1</v>
      </c>
    </row>
    <row r="462" spans="1:11" x14ac:dyDescent="0.35">
      <c r="A462" s="1">
        <v>461</v>
      </c>
      <c r="B462" s="1">
        <v>25</v>
      </c>
      <c r="C462" s="1" t="s">
        <v>10</v>
      </c>
      <c r="D462" s="1">
        <v>54</v>
      </c>
      <c r="E462" s="1">
        <v>47455.61</v>
      </c>
      <c r="F462" s="1">
        <v>1</v>
      </c>
      <c r="G462" s="1">
        <v>1</v>
      </c>
      <c r="H462" s="1">
        <v>1</v>
      </c>
      <c r="I462" s="1">
        <v>37987.870000000003</v>
      </c>
      <c r="J462" s="1">
        <v>0</v>
      </c>
      <c r="K462">
        <f t="shared" si="7"/>
        <v>1</v>
      </c>
    </row>
    <row r="463" spans="1:11" x14ac:dyDescent="0.35">
      <c r="A463" s="1">
        <v>462</v>
      </c>
      <c r="B463" s="1">
        <v>61</v>
      </c>
      <c r="C463" s="1" t="s">
        <v>11</v>
      </c>
      <c r="D463" s="1">
        <v>1</v>
      </c>
      <c r="E463" s="1">
        <v>25645.119999999999</v>
      </c>
      <c r="F463" s="1">
        <v>1</v>
      </c>
      <c r="G463" s="1">
        <v>0</v>
      </c>
      <c r="H463" s="1">
        <v>1</v>
      </c>
      <c r="I463" s="1">
        <v>115961.88</v>
      </c>
      <c r="J463" s="1">
        <v>0</v>
      </c>
      <c r="K463">
        <f t="shared" si="7"/>
        <v>1</v>
      </c>
    </row>
    <row r="464" spans="1:11" x14ac:dyDescent="0.35">
      <c r="A464" s="1">
        <v>463</v>
      </c>
      <c r="B464" s="1">
        <v>61</v>
      </c>
      <c r="C464" s="1" t="s">
        <v>10</v>
      </c>
      <c r="D464" s="1">
        <v>44</v>
      </c>
      <c r="E464" s="1">
        <v>4683.62</v>
      </c>
      <c r="F464" s="1">
        <v>3</v>
      </c>
      <c r="G464" s="1">
        <v>1</v>
      </c>
      <c r="H464" s="1">
        <v>0</v>
      </c>
      <c r="I464" s="1">
        <v>131405.37</v>
      </c>
      <c r="J464" s="1">
        <v>0</v>
      </c>
      <c r="K464">
        <f t="shared" si="7"/>
        <v>1</v>
      </c>
    </row>
    <row r="465" spans="1:11" x14ac:dyDescent="0.35">
      <c r="A465" s="1">
        <v>464</v>
      </c>
      <c r="B465" s="1">
        <v>22</v>
      </c>
      <c r="C465" s="1" t="s">
        <v>11</v>
      </c>
      <c r="D465" s="1">
        <v>45</v>
      </c>
      <c r="E465" s="1">
        <v>37731.06</v>
      </c>
      <c r="F465" s="1">
        <v>4</v>
      </c>
      <c r="G465" s="1">
        <v>0</v>
      </c>
      <c r="H465" s="1">
        <v>1</v>
      </c>
      <c r="I465" s="1">
        <v>142032.9</v>
      </c>
      <c r="J465" s="1">
        <v>0</v>
      </c>
      <c r="K465">
        <f t="shared" si="7"/>
        <v>1</v>
      </c>
    </row>
    <row r="466" spans="1:11" x14ac:dyDescent="0.35">
      <c r="A466" s="1">
        <v>465</v>
      </c>
      <c r="B466" s="1">
        <v>56</v>
      </c>
      <c r="C466" s="1" t="s">
        <v>10</v>
      </c>
      <c r="D466" s="1">
        <v>47</v>
      </c>
      <c r="E466" s="1">
        <v>24596.560000000001</v>
      </c>
      <c r="F466" s="1">
        <v>4</v>
      </c>
      <c r="G466" s="1">
        <v>1</v>
      </c>
      <c r="H466" s="1">
        <v>1</v>
      </c>
      <c r="I466" s="1">
        <v>84007.1</v>
      </c>
      <c r="J466" s="1">
        <v>0</v>
      </c>
      <c r="K466">
        <f t="shared" si="7"/>
        <v>1</v>
      </c>
    </row>
    <row r="467" spans="1:11" x14ac:dyDescent="0.35">
      <c r="A467" s="1">
        <v>466</v>
      </c>
      <c r="B467" s="1">
        <v>21</v>
      </c>
      <c r="C467" s="1" t="s">
        <v>10</v>
      </c>
      <c r="D467" s="1">
        <v>13</v>
      </c>
      <c r="E467" s="1">
        <v>15122.37</v>
      </c>
      <c r="F467" s="1">
        <v>2</v>
      </c>
      <c r="G467" s="1">
        <v>1</v>
      </c>
      <c r="H467" s="1">
        <v>0</v>
      </c>
      <c r="I467" s="1">
        <v>111112.54</v>
      </c>
      <c r="J467" s="1">
        <v>0</v>
      </c>
      <c r="K467">
        <f t="shared" si="7"/>
        <v>1</v>
      </c>
    </row>
    <row r="468" spans="1:11" x14ac:dyDescent="0.35">
      <c r="A468" s="1">
        <v>467</v>
      </c>
      <c r="B468" s="1">
        <v>23</v>
      </c>
      <c r="C468" s="1" t="s">
        <v>10</v>
      </c>
      <c r="D468" s="1">
        <v>22</v>
      </c>
      <c r="E468" s="1">
        <v>24570.91</v>
      </c>
      <c r="F468" s="1">
        <v>1</v>
      </c>
      <c r="G468" s="1">
        <v>0</v>
      </c>
      <c r="H468" s="1">
        <v>0</v>
      </c>
      <c r="I468" s="1">
        <v>131221.65</v>
      </c>
      <c r="J468" s="1">
        <v>0</v>
      </c>
      <c r="K468">
        <f t="shared" si="7"/>
        <v>1</v>
      </c>
    </row>
    <row r="469" spans="1:11" x14ac:dyDescent="0.35">
      <c r="A469" s="1">
        <v>468</v>
      </c>
      <c r="B469" s="1">
        <v>62</v>
      </c>
      <c r="C469" s="1" t="s">
        <v>10</v>
      </c>
      <c r="D469" s="1">
        <v>21</v>
      </c>
      <c r="E469" s="1">
        <v>26122.21</v>
      </c>
      <c r="F469" s="1">
        <v>3</v>
      </c>
      <c r="G469" s="1">
        <v>1</v>
      </c>
      <c r="H469" s="1">
        <v>1</v>
      </c>
      <c r="I469" s="1">
        <v>74377.84</v>
      </c>
      <c r="J469" s="1">
        <v>0</v>
      </c>
      <c r="K469">
        <f t="shared" si="7"/>
        <v>1</v>
      </c>
    </row>
    <row r="470" spans="1:11" x14ac:dyDescent="0.35">
      <c r="A470" s="1">
        <v>469</v>
      </c>
      <c r="B470" s="1">
        <v>49</v>
      </c>
      <c r="C470" s="1" t="s">
        <v>11</v>
      </c>
      <c r="D470" s="1">
        <v>9</v>
      </c>
      <c r="E470" s="1">
        <v>28135.58</v>
      </c>
      <c r="F470" s="1">
        <v>1</v>
      </c>
      <c r="G470" s="1">
        <v>0</v>
      </c>
      <c r="H470" s="1">
        <v>1</v>
      </c>
      <c r="I470" s="1">
        <v>60223.66</v>
      </c>
      <c r="J470" s="1">
        <v>0</v>
      </c>
      <c r="K470">
        <f t="shared" si="7"/>
        <v>1</v>
      </c>
    </row>
    <row r="471" spans="1:11" x14ac:dyDescent="0.35">
      <c r="A471" s="1">
        <v>470</v>
      </c>
      <c r="B471" s="1">
        <v>69</v>
      </c>
      <c r="C471" s="1" t="s">
        <v>11</v>
      </c>
      <c r="D471" s="1">
        <v>26</v>
      </c>
      <c r="E471" s="1">
        <v>22061.19</v>
      </c>
      <c r="F471" s="1">
        <v>1</v>
      </c>
      <c r="G471" s="1">
        <v>0</v>
      </c>
      <c r="H471" s="1">
        <v>1</v>
      </c>
      <c r="I471" s="1">
        <v>141774.19</v>
      </c>
      <c r="J471" s="1">
        <v>0</v>
      </c>
      <c r="K471">
        <f t="shared" si="7"/>
        <v>1</v>
      </c>
    </row>
    <row r="472" spans="1:11" x14ac:dyDescent="0.35">
      <c r="A472" s="1">
        <v>471</v>
      </c>
      <c r="B472" s="1">
        <v>47</v>
      </c>
      <c r="C472" s="1" t="s">
        <v>11</v>
      </c>
      <c r="D472" s="1">
        <v>9</v>
      </c>
      <c r="E472" s="1">
        <v>30287.77</v>
      </c>
      <c r="F472" s="1">
        <v>2</v>
      </c>
      <c r="G472" s="1">
        <v>1</v>
      </c>
      <c r="H472" s="1">
        <v>1</v>
      </c>
      <c r="I472" s="1">
        <v>87037.95</v>
      </c>
      <c r="J472" s="1">
        <v>0</v>
      </c>
      <c r="K472">
        <f t="shared" si="7"/>
        <v>1</v>
      </c>
    </row>
    <row r="473" spans="1:11" x14ac:dyDescent="0.35">
      <c r="A473" s="1">
        <v>472</v>
      </c>
      <c r="B473" s="1">
        <v>64</v>
      </c>
      <c r="C473" s="1" t="s">
        <v>10</v>
      </c>
      <c r="D473" s="1">
        <v>15</v>
      </c>
      <c r="E473" s="1">
        <v>45936.74</v>
      </c>
      <c r="F473" s="1">
        <v>1</v>
      </c>
      <c r="G473" s="1">
        <v>0</v>
      </c>
      <c r="H473" s="1">
        <v>0</v>
      </c>
      <c r="I473" s="1">
        <v>84643.01</v>
      </c>
      <c r="J473" s="1">
        <v>0</v>
      </c>
      <c r="K473">
        <f t="shared" si="7"/>
        <v>1</v>
      </c>
    </row>
    <row r="474" spans="1:11" x14ac:dyDescent="0.35">
      <c r="A474" s="1">
        <v>473</v>
      </c>
      <c r="B474" s="1">
        <v>52</v>
      </c>
      <c r="C474" s="1" t="s">
        <v>11</v>
      </c>
      <c r="D474" s="1">
        <v>10</v>
      </c>
      <c r="E474" s="1">
        <v>18113.400000000001</v>
      </c>
      <c r="F474" s="1">
        <v>3</v>
      </c>
      <c r="G474" s="1">
        <v>1</v>
      </c>
      <c r="H474" s="1">
        <v>0</v>
      </c>
      <c r="I474" s="1">
        <v>43194.09</v>
      </c>
      <c r="J474" s="1">
        <v>0</v>
      </c>
      <c r="K474">
        <f t="shared" si="7"/>
        <v>1</v>
      </c>
    </row>
    <row r="475" spans="1:11" x14ac:dyDescent="0.35">
      <c r="A475" s="1">
        <v>474</v>
      </c>
      <c r="B475" s="1">
        <v>57</v>
      </c>
      <c r="C475" s="1" t="s">
        <v>11</v>
      </c>
      <c r="D475" s="1">
        <v>42</v>
      </c>
      <c r="E475" s="1">
        <v>36285.82</v>
      </c>
      <c r="F475" s="1">
        <v>3</v>
      </c>
      <c r="G475" s="1">
        <v>1</v>
      </c>
      <c r="H475" s="1">
        <v>0</v>
      </c>
      <c r="I475" s="1">
        <v>34060.15</v>
      </c>
      <c r="J475" s="1">
        <v>0</v>
      </c>
      <c r="K475">
        <f t="shared" si="7"/>
        <v>1</v>
      </c>
    </row>
    <row r="476" spans="1:11" x14ac:dyDescent="0.35">
      <c r="A476" s="1">
        <v>475</v>
      </c>
      <c r="B476" s="1">
        <v>69</v>
      </c>
      <c r="C476" s="1" t="s">
        <v>11</v>
      </c>
      <c r="D476" s="1">
        <v>24</v>
      </c>
      <c r="E476" s="1">
        <v>44722.63</v>
      </c>
      <c r="F476" s="1">
        <v>2</v>
      </c>
      <c r="G476" s="1">
        <v>0</v>
      </c>
      <c r="H476" s="1">
        <v>1</v>
      </c>
      <c r="I476" s="1">
        <v>129473.89</v>
      </c>
      <c r="J476" s="1">
        <v>0</v>
      </c>
      <c r="K476">
        <f t="shared" si="7"/>
        <v>1</v>
      </c>
    </row>
    <row r="477" spans="1:11" x14ac:dyDescent="0.35">
      <c r="A477" s="1">
        <v>476</v>
      </c>
      <c r="B477" s="1">
        <v>33</v>
      </c>
      <c r="C477" s="1" t="s">
        <v>10</v>
      </c>
      <c r="D477" s="1">
        <v>49</v>
      </c>
      <c r="E477" s="1">
        <v>22798.959999999999</v>
      </c>
      <c r="F477" s="1">
        <v>1</v>
      </c>
      <c r="G477" s="1">
        <v>1</v>
      </c>
      <c r="H477" s="1">
        <v>1</v>
      </c>
      <c r="I477" s="1">
        <v>99837.31</v>
      </c>
      <c r="J477" s="1">
        <v>0</v>
      </c>
      <c r="K477">
        <f t="shared" si="7"/>
        <v>1</v>
      </c>
    </row>
    <row r="478" spans="1:11" x14ac:dyDescent="0.35">
      <c r="A478" s="1">
        <v>477</v>
      </c>
      <c r="B478" s="1">
        <v>30</v>
      </c>
      <c r="C478" s="1" t="s">
        <v>10</v>
      </c>
      <c r="D478" s="1">
        <v>26</v>
      </c>
      <c r="E478" s="1">
        <v>22172.79</v>
      </c>
      <c r="F478" s="1">
        <v>3</v>
      </c>
      <c r="G478" s="1">
        <v>0</v>
      </c>
      <c r="H478" s="1">
        <v>0</v>
      </c>
      <c r="I478" s="1">
        <v>62357.2</v>
      </c>
      <c r="J478" s="1">
        <v>0</v>
      </c>
      <c r="K478">
        <f t="shared" si="7"/>
        <v>1</v>
      </c>
    </row>
    <row r="479" spans="1:11" x14ac:dyDescent="0.35">
      <c r="A479" s="1">
        <v>478</v>
      </c>
      <c r="B479" s="1">
        <v>67</v>
      </c>
      <c r="C479" s="1" t="s">
        <v>10</v>
      </c>
      <c r="D479" s="1">
        <v>37</v>
      </c>
      <c r="E479" s="1">
        <v>30105.85</v>
      </c>
      <c r="F479" s="1">
        <v>1</v>
      </c>
      <c r="G479" s="1">
        <v>0</v>
      </c>
      <c r="H479" s="1">
        <v>0</v>
      </c>
      <c r="I479" s="1">
        <v>44925.71</v>
      </c>
      <c r="J479" s="1">
        <v>0</v>
      </c>
      <c r="K479">
        <f t="shared" si="7"/>
        <v>1</v>
      </c>
    </row>
    <row r="480" spans="1:11" x14ac:dyDescent="0.35">
      <c r="A480" s="1">
        <v>479</v>
      </c>
      <c r="B480" s="1">
        <v>59</v>
      </c>
      <c r="C480" s="1" t="s">
        <v>11</v>
      </c>
      <c r="D480" s="1">
        <v>68</v>
      </c>
      <c r="E480" s="1">
        <v>29570.34</v>
      </c>
      <c r="F480" s="1">
        <v>1</v>
      </c>
      <c r="G480" s="1">
        <v>1</v>
      </c>
      <c r="H480" s="1">
        <v>1</v>
      </c>
      <c r="I480" s="1">
        <v>92214.65</v>
      </c>
      <c r="J480" s="1">
        <v>0</v>
      </c>
      <c r="K480">
        <f t="shared" si="7"/>
        <v>1</v>
      </c>
    </row>
    <row r="481" spans="1:11" x14ac:dyDescent="0.35">
      <c r="A481" s="1">
        <v>480</v>
      </c>
      <c r="B481" s="1">
        <v>47</v>
      </c>
      <c r="C481" s="1" t="s">
        <v>11</v>
      </c>
      <c r="D481" s="1">
        <v>50</v>
      </c>
      <c r="E481" s="1">
        <v>40329.47</v>
      </c>
      <c r="F481" s="1">
        <v>1</v>
      </c>
      <c r="G481" s="1">
        <v>1</v>
      </c>
      <c r="H481" s="1">
        <v>1</v>
      </c>
      <c r="I481" s="1">
        <v>95909.51</v>
      </c>
      <c r="J481" s="1">
        <v>0</v>
      </c>
      <c r="K481">
        <f t="shared" si="7"/>
        <v>1</v>
      </c>
    </row>
    <row r="482" spans="1:11" x14ac:dyDescent="0.35">
      <c r="A482" s="1">
        <v>481</v>
      </c>
      <c r="B482" s="1">
        <v>36</v>
      </c>
      <c r="C482" s="1" t="s">
        <v>11</v>
      </c>
      <c r="D482" s="1">
        <v>24</v>
      </c>
      <c r="E482" s="1">
        <v>23824.17</v>
      </c>
      <c r="F482" s="1">
        <v>2</v>
      </c>
      <c r="G482" s="1">
        <v>0</v>
      </c>
      <c r="H482" s="1">
        <v>0</v>
      </c>
      <c r="I482" s="1">
        <v>46909.17</v>
      </c>
      <c r="J482" s="1">
        <v>0</v>
      </c>
      <c r="K482">
        <f t="shared" si="7"/>
        <v>1</v>
      </c>
    </row>
    <row r="483" spans="1:11" x14ac:dyDescent="0.35">
      <c r="A483" s="1">
        <v>482</v>
      </c>
      <c r="B483" s="1">
        <v>34</v>
      </c>
      <c r="C483" s="1" t="s">
        <v>10</v>
      </c>
      <c r="D483" s="1">
        <v>19</v>
      </c>
      <c r="E483" s="1">
        <v>49806.15</v>
      </c>
      <c r="F483" s="1">
        <v>1</v>
      </c>
      <c r="G483" s="1">
        <v>0</v>
      </c>
      <c r="H483" s="1">
        <v>0</v>
      </c>
      <c r="I483" s="1">
        <v>130682.75</v>
      </c>
      <c r="J483" s="1">
        <v>0</v>
      </c>
      <c r="K483">
        <f t="shared" si="7"/>
        <v>1</v>
      </c>
    </row>
    <row r="484" spans="1:11" x14ac:dyDescent="0.35">
      <c r="A484" s="1">
        <v>483</v>
      </c>
      <c r="B484" s="1">
        <v>36</v>
      </c>
      <c r="C484" s="1" t="s">
        <v>10</v>
      </c>
      <c r="D484" s="1">
        <v>60</v>
      </c>
      <c r="E484" s="1">
        <v>2973.58</v>
      </c>
      <c r="F484" s="1">
        <v>3</v>
      </c>
      <c r="G484" s="1">
        <v>1</v>
      </c>
      <c r="H484" s="1">
        <v>0</v>
      </c>
      <c r="I484" s="1">
        <v>30954.37</v>
      </c>
      <c r="J484" s="1">
        <v>0</v>
      </c>
      <c r="K484">
        <f t="shared" si="7"/>
        <v>1</v>
      </c>
    </row>
    <row r="485" spans="1:11" x14ac:dyDescent="0.35">
      <c r="A485" s="1">
        <v>484</v>
      </c>
      <c r="B485" s="1">
        <v>45</v>
      </c>
      <c r="C485" s="1" t="s">
        <v>11</v>
      </c>
      <c r="D485" s="1">
        <v>39</v>
      </c>
      <c r="E485" s="1">
        <v>158.38999999999999</v>
      </c>
      <c r="F485" s="1">
        <v>1</v>
      </c>
      <c r="G485" s="1">
        <v>1</v>
      </c>
      <c r="H485" s="1">
        <v>1</v>
      </c>
      <c r="I485" s="1">
        <v>66292.100000000006</v>
      </c>
      <c r="J485" s="1">
        <v>0</v>
      </c>
      <c r="K485">
        <f t="shared" si="7"/>
        <v>1</v>
      </c>
    </row>
    <row r="486" spans="1:11" x14ac:dyDescent="0.35">
      <c r="A486" s="1">
        <v>485</v>
      </c>
      <c r="B486" s="1">
        <v>43</v>
      </c>
      <c r="C486" s="1" t="s">
        <v>10</v>
      </c>
      <c r="D486" s="1">
        <v>18</v>
      </c>
      <c r="E486" s="1">
        <v>32009.919999999998</v>
      </c>
      <c r="F486" s="1">
        <v>3</v>
      </c>
      <c r="G486" s="1">
        <v>1</v>
      </c>
      <c r="H486" s="1">
        <v>1</v>
      </c>
      <c r="I486" s="1">
        <v>108449.97</v>
      </c>
      <c r="J486" s="1">
        <v>0</v>
      </c>
      <c r="K486">
        <f t="shared" si="7"/>
        <v>1</v>
      </c>
    </row>
    <row r="487" spans="1:11" x14ac:dyDescent="0.35">
      <c r="A487" s="1">
        <v>486</v>
      </c>
      <c r="B487" s="1">
        <v>54</v>
      </c>
      <c r="C487" s="1" t="s">
        <v>10</v>
      </c>
      <c r="D487" s="1">
        <v>19</v>
      </c>
      <c r="E487" s="1">
        <v>14921.75</v>
      </c>
      <c r="F487" s="1">
        <v>1</v>
      </c>
      <c r="G487" s="1">
        <v>1</v>
      </c>
      <c r="H487" s="1">
        <v>1</v>
      </c>
      <c r="I487" s="1">
        <v>55635.65</v>
      </c>
      <c r="J487" s="1">
        <v>0</v>
      </c>
      <c r="K487">
        <f t="shared" si="7"/>
        <v>1</v>
      </c>
    </row>
    <row r="488" spans="1:11" x14ac:dyDescent="0.35">
      <c r="A488" s="1">
        <v>487</v>
      </c>
      <c r="B488" s="1">
        <v>43</v>
      </c>
      <c r="C488" s="1" t="s">
        <v>10</v>
      </c>
      <c r="D488" s="1">
        <v>36</v>
      </c>
      <c r="E488" s="1">
        <v>12019.12</v>
      </c>
      <c r="F488" s="1">
        <v>3</v>
      </c>
      <c r="G488" s="1">
        <v>0</v>
      </c>
      <c r="H488" s="1">
        <v>1</v>
      </c>
      <c r="I488" s="1">
        <v>127597.78</v>
      </c>
      <c r="J488" s="1">
        <v>0</v>
      </c>
      <c r="K488">
        <f t="shared" si="7"/>
        <v>1</v>
      </c>
    </row>
    <row r="489" spans="1:11" x14ac:dyDescent="0.35">
      <c r="A489" s="1">
        <v>488</v>
      </c>
      <c r="B489" s="1">
        <v>40</v>
      </c>
      <c r="C489" s="1" t="s">
        <v>10</v>
      </c>
      <c r="D489" s="1">
        <v>55</v>
      </c>
      <c r="E489" s="1">
        <v>15594.95</v>
      </c>
      <c r="F489" s="1">
        <v>3</v>
      </c>
      <c r="G489" s="1">
        <v>1</v>
      </c>
      <c r="H489" s="1">
        <v>1</v>
      </c>
      <c r="I489" s="1">
        <v>116182.82</v>
      </c>
      <c r="J489" s="1">
        <v>0</v>
      </c>
      <c r="K489">
        <f t="shared" si="7"/>
        <v>1</v>
      </c>
    </row>
    <row r="490" spans="1:11" x14ac:dyDescent="0.35">
      <c r="A490" s="1">
        <v>489</v>
      </c>
      <c r="B490" s="1">
        <v>26</v>
      </c>
      <c r="C490" s="1" t="s">
        <v>11</v>
      </c>
      <c r="D490" s="1">
        <v>69</v>
      </c>
      <c r="E490" s="1">
        <v>12802.38</v>
      </c>
      <c r="F490" s="1">
        <v>1</v>
      </c>
      <c r="G490" s="1">
        <v>0</v>
      </c>
      <c r="H490" s="1">
        <v>1</v>
      </c>
      <c r="I490" s="1">
        <v>122572.97</v>
      </c>
      <c r="J490" s="1">
        <v>0</v>
      </c>
      <c r="K490">
        <f t="shared" si="7"/>
        <v>1</v>
      </c>
    </row>
    <row r="491" spans="1:11" x14ac:dyDescent="0.35">
      <c r="A491" s="1">
        <v>490</v>
      </c>
      <c r="B491" s="1">
        <v>29</v>
      </c>
      <c r="C491" s="1" t="s">
        <v>10</v>
      </c>
      <c r="D491" s="1">
        <v>47</v>
      </c>
      <c r="E491" s="1">
        <v>1539.5</v>
      </c>
      <c r="F491" s="1">
        <v>1</v>
      </c>
      <c r="G491" s="1">
        <v>0</v>
      </c>
      <c r="H491" s="1">
        <v>0</v>
      </c>
      <c r="I491" s="1">
        <v>35483.85</v>
      </c>
      <c r="J491" s="1">
        <v>0</v>
      </c>
      <c r="K491">
        <f t="shared" si="7"/>
        <v>1</v>
      </c>
    </row>
    <row r="492" spans="1:11" x14ac:dyDescent="0.35">
      <c r="A492" s="1">
        <v>491</v>
      </c>
      <c r="B492" s="1">
        <v>18</v>
      </c>
      <c r="C492" s="1" t="s">
        <v>10</v>
      </c>
      <c r="D492" s="1">
        <v>49</v>
      </c>
      <c r="E492" s="1">
        <v>48576.65</v>
      </c>
      <c r="F492" s="1">
        <v>3</v>
      </c>
      <c r="G492" s="1">
        <v>1</v>
      </c>
      <c r="H492" s="1">
        <v>0</v>
      </c>
      <c r="I492" s="1">
        <v>38271.129999999997</v>
      </c>
      <c r="J492" s="1">
        <v>0</v>
      </c>
      <c r="K492">
        <f t="shared" si="7"/>
        <v>1</v>
      </c>
    </row>
    <row r="493" spans="1:11" x14ac:dyDescent="0.35">
      <c r="A493" s="1">
        <v>492</v>
      </c>
      <c r="B493" s="1">
        <v>18</v>
      </c>
      <c r="C493" s="1" t="s">
        <v>10</v>
      </c>
      <c r="D493" s="1">
        <v>33</v>
      </c>
      <c r="E493" s="1">
        <v>11037.27</v>
      </c>
      <c r="F493" s="1">
        <v>4</v>
      </c>
      <c r="G493" s="1">
        <v>0</v>
      </c>
      <c r="H493" s="1">
        <v>1</v>
      </c>
      <c r="I493" s="1">
        <v>57241.59</v>
      </c>
      <c r="J493" s="1">
        <v>0</v>
      </c>
      <c r="K493">
        <f t="shared" si="7"/>
        <v>1</v>
      </c>
    </row>
    <row r="494" spans="1:11" x14ac:dyDescent="0.35">
      <c r="A494" s="1">
        <v>493</v>
      </c>
      <c r="B494" s="1">
        <v>64</v>
      </c>
      <c r="C494" s="1" t="s">
        <v>10</v>
      </c>
      <c r="D494" s="1">
        <v>21</v>
      </c>
      <c r="E494" s="1">
        <v>36701.49</v>
      </c>
      <c r="F494" s="1">
        <v>2</v>
      </c>
      <c r="G494" s="1">
        <v>1</v>
      </c>
      <c r="H494" s="1">
        <v>0</v>
      </c>
      <c r="I494" s="1">
        <v>87350.03</v>
      </c>
      <c r="J494" s="1">
        <v>0</v>
      </c>
      <c r="K494">
        <f t="shared" si="7"/>
        <v>1</v>
      </c>
    </row>
    <row r="495" spans="1:11" x14ac:dyDescent="0.35">
      <c r="A495" s="1">
        <v>494</v>
      </c>
      <c r="B495" s="1">
        <v>51</v>
      </c>
      <c r="C495" s="1" t="s">
        <v>11</v>
      </c>
      <c r="D495" s="1">
        <v>22</v>
      </c>
      <c r="E495" s="1">
        <v>38129.82</v>
      </c>
      <c r="F495" s="1">
        <v>4</v>
      </c>
      <c r="G495" s="1">
        <v>0</v>
      </c>
      <c r="H495" s="1">
        <v>1</v>
      </c>
      <c r="I495" s="1">
        <v>117242.09</v>
      </c>
      <c r="J495" s="1">
        <v>0</v>
      </c>
      <c r="K495">
        <f t="shared" si="7"/>
        <v>1</v>
      </c>
    </row>
    <row r="496" spans="1:11" x14ac:dyDescent="0.35">
      <c r="A496" s="1">
        <v>495</v>
      </c>
      <c r="B496" s="1">
        <v>49</v>
      </c>
      <c r="C496" s="1" t="s">
        <v>11</v>
      </c>
      <c r="D496" s="1">
        <v>48</v>
      </c>
      <c r="E496" s="1">
        <v>46462.87</v>
      </c>
      <c r="F496" s="1">
        <v>4</v>
      </c>
      <c r="G496" s="1">
        <v>1</v>
      </c>
      <c r="H496" s="1">
        <v>0</v>
      </c>
      <c r="I496" s="1">
        <v>128749.02</v>
      </c>
      <c r="J496" s="1">
        <v>0</v>
      </c>
      <c r="K496">
        <f t="shared" si="7"/>
        <v>1</v>
      </c>
    </row>
    <row r="497" spans="1:11" x14ac:dyDescent="0.35">
      <c r="A497" s="1">
        <v>496</v>
      </c>
      <c r="B497" s="1">
        <v>65</v>
      </c>
      <c r="C497" s="1" t="s">
        <v>10</v>
      </c>
      <c r="D497" s="1">
        <v>37</v>
      </c>
      <c r="E497" s="1">
        <v>1527.47</v>
      </c>
      <c r="F497" s="1">
        <v>1</v>
      </c>
      <c r="G497" s="1">
        <v>0</v>
      </c>
      <c r="H497" s="1">
        <v>1</v>
      </c>
      <c r="I497" s="1">
        <v>111563.59</v>
      </c>
      <c r="J497" s="1">
        <v>0</v>
      </c>
      <c r="K497">
        <f t="shared" si="7"/>
        <v>1</v>
      </c>
    </row>
    <row r="498" spans="1:11" x14ac:dyDescent="0.35">
      <c r="A498" s="1">
        <v>497</v>
      </c>
      <c r="B498" s="1">
        <v>42</v>
      </c>
      <c r="C498" s="1" t="s">
        <v>10</v>
      </c>
      <c r="D498" s="1">
        <v>15</v>
      </c>
      <c r="E498" s="1">
        <v>43602.42</v>
      </c>
      <c r="F498" s="1">
        <v>2</v>
      </c>
      <c r="G498" s="1">
        <v>0</v>
      </c>
      <c r="H498" s="1">
        <v>0</v>
      </c>
      <c r="I498" s="1">
        <v>140717.59</v>
      </c>
      <c r="J498" s="1">
        <v>0</v>
      </c>
      <c r="K498">
        <f t="shared" si="7"/>
        <v>1</v>
      </c>
    </row>
    <row r="499" spans="1:11" x14ac:dyDescent="0.35">
      <c r="A499" s="1">
        <v>498</v>
      </c>
      <c r="B499" s="1">
        <v>57</v>
      </c>
      <c r="C499" s="1" t="s">
        <v>10</v>
      </c>
      <c r="D499" s="1">
        <v>35</v>
      </c>
      <c r="E499" s="1">
        <v>26361.31</v>
      </c>
      <c r="F499" s="1">
        <v>4</v>
      </c>
      <c r="G499" s="1">
        <v>1</v>
      </c>
      <c r="H499" s="1">
        <v>0</v>
      </c>
      <c r="I499" s="1">
        <v>116036.66</v>
      </c>
      <c r="J499" s="1">
        <v>0</v>
      </c>
      <c r="K499">
        <f t="shared" si="7"/>
        <v>1</v>
      </c>
    </row>
    <row r="500" spans="1:11" x14ac:dyDescent="0.35">
      <c r="A500" s="1">
        <v>499</v>
      </c>
      <c r="B500" s="1">
        <v>62</v>
      </c>
      <c r="C500" s="1" t="s">
        <v>10</v>
      </c>
      <c r="D500" s="1">
        <v>71</v>
      </c>
      <c r="E500" s="1">
        <v>31627.21</v>
      </c>
      <c r="F500" s="1">
        <v>1</v>
      </c>
      <c r="G500" s="1">
        <v>1</v>
      </c>
      <c r="H500" s="1">
        <v>1</v>
      </c>
      <c r="I500" s="1">
        <v>59814.83</v>
      </c>
      <c r="J500" s="1">
        <v>0</v>
      </c>
      <c r="K500">
        <f t="shared" si="7"/>
        <v>1</v>
      </c>
    </row>
    <row r="501" spans="1:11" x14ac:dyDescent="0.35">
      <c r="A501" s="1">
        <v>500</v>
      </c>
      <c r="B501" s="1">
        <v>18</v>
      </c>
      <c r="C501" s="1" t="s">
        <v>10</v>
      </c>
      <c r="D501" s="1">
        <v>32</v>
      </c>
      <c r="E501" s="1">
        <v>32223.51</v>
      </c>
      <c r="F501" s="1">
        <v>4</v>
      </c>
      <c r="G501" s="1">
        <v>0</v>
      </c>
      <c r="H501" s="1">
        <v>1</v>
      </c>
      <c r="I501" s="1">
        <v>54460.57</v>
      </c>
      <c r="J501" s="1">
        <v>0</v>
      </c>
      <c r="K501">
        <f t="shared" si="7"/>
        <v>1</v>
      </c>
    </row>
    <row r="502" spans="1:11" x14ac:dyDescent="0.35">
      <c r="A502" s="1">
        <v>501</v>
      </c>
      <c r="B502" s="1">
        <v>33</v>
      </c>
      <c r="C502" s="1" t="s">
        <v>10</v>
      </c>
      <c r="D502" s="1">
        <v>11</v>
      </c>
      <c r="E502" s="1">
        <v>40989.89</v>
      </c>
      <c r="F502" s="1">
        <v>4</v>
      </c>
      <c r="G502" s="1">
        <v>0</v>
      </c>
      <c r="H502" s="1">
        <v>0</v>
      </c>
      <c r="I502" s="1">
        <v>110505.02</v>
      </c>
      <c r="J502" s="1">
        <v>0</v>
      </c>
      <c r="K502">
        <f t="shared" si="7"/>
        <v>1</v>
      </c>
    </row>
    <row r="503" spans="1:11" x14ac:dyDescent="0.35">
      <c r="A503" s="1">
        <v>502</v>
      </c>
      <c r="B503" s="1">
        <v>56</v>
      </c>
      <c r="C503" s="1" t="s">
        <v>11</v>
      </c>
      <c r="D503" s="1">
        <v>10</v>
      </c>
      <c r="E503" s="1">
        <v>16670.37</v>
      </c>
      <c r="F503" s="1">
        <v>1</v>
      </c>
      <c r="G503" s="1">
        <v>1</v>
      </c>
      <c r="H503" s="1">
        <v>0</v>
      </c>
      <c r="I503" s="1">
        <v>45073.17</v>
      </c>
      <c r="J503" s="1">
        <v>0</v>
      </c>
      <c r="K503">
        <f t="shared" si="7"/>
        <v>1</v>
      </c>
    </row>
    <row r="504" spans="1:11" x14ac:dyDescent="0.35">
      <c r="A504" s="1">
        <v>503</v>
      </c>
      <c r="B504" s="1">
        <v>22</v>
      </c>
      <c r="C504" s="1" t="s">
        <v>10</v>
      </c>
      <c r="D504" s="1">
        <v>57</v>
      </c>
      <c r="E504" s="1">
        <v>36652.559999999998</v>
      </c>
      <c r="F504" s="1">
        <v>1</v>
      </c>
      <c r="G504" s="1">
        <v>0</v>
      </c>
      <c r="H504" s="1">
        <v>1</v>
      </c>
      <c r="I504" s="1">
        <v>32052.93</v>
      </c>
      <c r="J504" s="1">
        <v>0</v>
      </c>
      <c r="K504">
        <f t="shared" si="7"/>
        <v>1</v>
      </c>
    </row>
    <row r="505" spans="1:11" x14ac:dyDescent="0.35">
      <c r="A505" s="1">
        <v>504</v>
      </c>
      <c r="B505" s="1">
        <v>39</v>
      </c>
      <c r="C505" s="1" t="s">
        <v>11</v>
      </c>
      <c r="D505" s="1">
        <v>25</v>
      </c>
      <c r="E505" s="1">
        <v>26428.91</v>
      </c>
      <c r="F505" s="1">
        <v>1</v>
      </c>
      <c r="G505" s="1">
        <v>1</v>
      </c>
      <c r="H505" s="1">
        <v>0</v>
      </c>
      <c r="I505" s="1">
        <v>89188.97</v>
      </c>
      <c r="J505" s="1">
        <v>0</v>
      </c>
      <c r="K505">
        <f t="shared" si="7"/>
        <v>1</v>
      </c>
    </row>
    <row r="506" spans="1:11" x14ac:dyDescent="0.35">
      <c r="A506" s="1">
        <v>505</v>
      </c>
      <c r="B506" s="1">
        <v>46</v>
      </c>
      <c r="C506" s="1" t="s">
        <v>11</v>
      </c>
      <c r="D506" s="1">
        <v>2</v>
      </c>
      <c r="E506" s="1">
        <v>39669.699999999997</v>
      </c>
      <c r="F506" s="1">
        <v>2</v>
      </c>
      <c r="G506" s="1">
        <v>0</v>
      </c>
      <c r="H506" s="1">
        <v>1</v>
      </c>
      <c r="I506" s="1">
        <v>126813.4</v>
      </c>
      <c r="J506" s="1">
        <v>0</v>
      </c>
      <c r="K506">
        <f t="shared" si="7"/>
        <v>1</v>
      </c>
    </row>
    <row r="507" spans="1:11" x14ac:dyDescent="0.35">
      <c r="A507" s="1">
        <v>506</v>
      </c>
      <c r="B507" s="1">
        <v>20</v>
      </c>
      <c r="C507" s="1" t="s">
        <v>10</v>
      </c>
      <c r="D507" s="1">
        <v>64</v>
      </c>
      <c r="E507" s="1">
        <v>49527.3</v>
      </c>
      <c r="F507" s="1">
        <v>4</v>
      </c>
      <c r="G507" s="1">
        <v>1</v>
      </c>
      <c r="H507" s="1">
        <v>1</v>
      </c>
      <c r="I507" s="1">
        <v>33179.379999999997</v>
      </c>
      <c r="J507" s="1">
        <v>0</v>
      </c>
      <c r="K507">
        <f t="shared" si="7"/>
        <v>1</v>
      </c>
    </row>
    <row r="508" spans="1:11" x14ac:dyDescent="0.35">
      <c r="A508" s="1">
        <v>507</v>
      </c>
      <c r="B508" s="1">
        <v>29</v>
      </c>
      <c r="C508" s="1" t="s">
        <v>11</v>
      </c>
      <c r="D508" s="1">
        <v>35</v>
      </c>
      <c r="E508" s="1">
        <v>10032.549999999999</v>
      </c>
      <c r="F508" s="1">
        <v>1</v>
      </c>
      <c r="G508" s="1">
        <v>0</v>
      </c>
      <c r="H508" s="1">
        <v>0</v>
      </c>
      <c r="I508" s="1">
        <v>122945.87</v>
      </c>
      <c r="J508" s="1">
        <v>0</v>
      </c>
      <c r="K508">
        <f t="shared" si="7"/>
        <v>1</v>
      </c>
    </row>
    <row r="509" spans="1:11" x14ac:dyDescent="0.35">
      <c r="A509" s="1">
        <v>508</v>
      </c>
      <c r="B509" s="1">
        <v>43</v>
      </c>
      <c r="C509" s="1" t="s">
        <v>11</v>
      </c>
      <c r="D509" s="1">
        <v>7</v>
      </c>
      <c r="E509" s="1">
        <v>49732.43</v>
      </c>
      <c r="F509" s="1">
        <v>3</v>
      </c>
      <c r="G509" s="1">
        <v>1</v>
      </c>
      <c r="H509" s="1">
        <v>1</v>
      </c>
      <c r="I509" s="1">
        <v>125504.36</v>
      </c>
      <c r="J509" s="1">
        <v>0</v>
      </c>
      <c r="K509">
        <f t="shared" si="7"/>
        <v>1</v>
      </c>
    </row>
    <row r="510" spans="1:11" x14ac:dyDescent="0.35">
      <c r="A510" s="1">
        <v>509</v>
      </c>
      <c r="B510" s="1">
        <v>33</v>
      </c>
      <c r="C510" s="1" t="s">
        <v>11</v>
      </c>
      <c r="D510" s="1">
        <v>18</v>
      </c>
      <c r="E510" s="1">
        <v>4490.6099999999997</v>
      </c>
      <c r="F510" s="1">
        <v>4</v>
      </c>
      <c r="G510" s="1">
        <v>1</v>
      </c>
      <c r="H510" s="1">
        <v>0</v>
      </c>
      <c r="I510" s="1">
        <v>82695.62</v>
      </c>
      <c r="J510" s="1">
        <v>0</v>
      </c>
      <c r="K510">
        <f t="shared" si="7"/>
        <v>1</v>
      </c>
    </row>
    <row r="511" spans="1:11" x14ac:dyDescent="0.35">
      <c r="A511" s="1">
        <v>510</v>
      </c>
      <c r="B511" s="1">
        <v>68</v>
      </c>
      <c r="C511" s="1" t="s">
        <v>11</v>
      </c>
      <c r="D511" s="1">
        <v>67</v>
      </c>
      <c r="E511" s="1">
        <v>115.88</v>
      </c>
      <c r="F511" s="1">
        <v>3</v>
      </c>
      <c r="G511" s="1">
        <v>0</v>
      </c>
      <c r="H511" s="1">
        <v>0</v>
      </c>
      <c r="I511" s="1">
        <v>27450.34</v>
      </c>
      <c r="J511" s="1">
        <v>0</v>
      </c>
      <c r="K511">
        <f t="shared" si="7"/>
        <v>1</v>
      </c>
    </row>
    <row r="512" spans="1:11" x14ac:dyDescent="0.35">
      <c r="A512" s="1">
        <v>511</v>
      </c>
      <c r="B512" s="1">
        <v>54</v>
      </c>
      <c r="C512" s="1" t="s">
        <v>11</v>
      </c>
      <c r="D512" s="1">
        <v>42</v>
      </c>
      <c r="E512" s="1">
        <v>2208.1</v>
      </c>
      <c r="F512" s="1">
        <v>2</v>
      </c>
      <c r="G512" s="1">
        <v>1</v>
      </c>
      <c r="H512" s="1">
        <v>1</v>
      </c>
      <c r="I512" s="1">
        <v>42696.68</v>
      </c>
      <c r="J512" s="1">
        <v>0</v>
      </c>
      <c r="K512">
        <f t="shared" si="7"/>
        <v>1</v>
      </c>
    </row>
    <row r="513" spans="1:11" x14ac:dyDescent="0.35">
      <c r="A513" s="1">
        <v>512</v>
      </c>
      <c r="B513" s="1">
        <v>39</v>
      </c>
      <c r="C513" s="1" t="s">
        <v>11</v>
      </c>
      <c r="D513" s="1">
        <v>39</v>
      </c>
      <c r="E513" s="1">
        <v>17089.12</v>
      </c>
      <c r="F513" s="1">
        <v>1</v>
      </c>
      <c r="G513" s="1">
        <v>0</v>
      </c>
      <c r="H513" s="1">
        <v>0</v>
      </c>
      <c r="I513" s="1">
        <v>111965.42</v>
      </c>
      <c r="J513" s="1">
        <v>0</v>
      </c>
      <c r="K513">
        <f t="shared" si="7"/>
        <v>1</v>
      </c>
    </row>
    <row r="514" spans="1:11" x14ac:dyDescent="0.35">
      <c r="A514" s="1">
        <v>513</v>
      </c>
      <c r="B514" s="1">
        <v>46</v>
      </c>
      <c r="C514" s="1" t="s">
        <v>10</v>
      </c>
      <c r="D514" s="1">
        <v>41</v>
      </c>
      <c r="E514" s="1">
        <v>31645.32</v>
      </c>
      <c r="F514" s="1">
        <v>3</v>
      </c>
      <c r="G514" s="1">
        <v>1</v>
      </c>
      <c r="H514" s="1">
        <v>1</v>
      </c>
      <c r="I514" s="1">
        <v>112531.13</v>
      </c>
      <c r="J514" s="1">
        <v>0</v>
      </c>
      <c r="K514">
        <f t="shared" si="7"/>
        <v>1</v>
      </c>
    </row>
    <row r="515" spans="1:11" x14ac:dyDescent="0.35">
      <c r="A515" s="1">
        <v>514</v>
      </c>
      <c r="B515" s="1">
        <v>31</v>
      </c>
      <c r="C515" s="1" t="s">
        <v>11</v>
      </c>
      <c r="D515" s="1">
        <v>24</v>
      </c>
      <c r="E515" s="1">
        <v>3451.48</v>
      </c>
      <c r="F515" s="1">
        <v>2</v>
      </c>
      <c r="G515" s="1">
        <v>1</v>
      </c>
      <c r="H515" s="1">
        <v>1</v>
      </c>
      <c r="I515" s="1">
        <v>136786.19</v>
      </c>
      <c r="J515" s="1">
        <v>0</v>
      </c>
      <c r="K515">
        <f t="shared" ref="K515:K578" si="8">COUNTIF($A$2:$A$1001,A515)</f>
        <v>1</v>
      </c>
    </row>
    <row r="516" spans="1:11" x14ac:dyDescent="0.35">
      <c r="A516" s="1">
        <v>515</v>
      </c>
      <c r="B516" s="1">
        <v>45</v>
      </c>
      <c r="C516" s="1" t="s">
        <v>11</v>
      </c>
      <c r="D516" s="1">
        <v>60</v>
      </c>
      <c r="E516" s="1">
        <v>283.29000000000002</v>
      </c>
      <c r="F516" s="1">
        <v>1</v>
      </c>
      <c r="G516" s="1">
        <v>1</v>
      </c>
      <c r="H516" s="1">
        <v>1</v>
      </c>
      <c r="I516" s="1">
        <v>95749.2</v>
      </c>
      <c r="J516" s="1">
        <v>0</v>
      </c>
      <c r="K516">
        <f t="shared" si="8"/>
        <v>1</v>
      </c>
    </row>
    <row r="517" spans="1:11" x14ac:dyDescent="0.35">
      <c r="A517" s="1">
        <v>516</v>
      </c>
      <c r="B517" s="1">
        <v>22</v>
      </c>
      <c r="C517" s="1" t="s">
        <v>11</v>
      </c>
      <c r="D517" s="1">
        <v>46</v>
      </c>
      <c r="E517" s="1">
        <v>46854.55</v>
      </c>
      <c r="F517" s="1">
        <v>3</v>
      </c>
      <c r="G517" s="1">
        <v>0</v>
      </c>
      <c r="H517" s="1">
        <v>0</v>
      </c>
      <c r="I517" s="1">
        <v>36133.96</v>
      </c>
      <c r="J517" s="1">
        <v>0</v>
      </c>
      <c r="K517">
        <f t="shared" si="8"/>
        <v>1</v>
      </c>
    </row>
    <row r="518" spans="1:11" x14ac:dyDescent="0.35">
      <c r="A518" s="1">
        <v>517</v>
      </c>
      <c r="B518" s="1">
        <v>64</v>
      </c>
      <c r="C518" s="1" t="s">
        <v>10</v>
      </c>
      <c r="D518" s="1">
        <v>19</v>
      </c>
      <c r="E518" s="1">
        <v>41096.33</v>
      </c>
      <c r="F518" s="1">
        <v>3</v>
      </c>
      <c r="G518" s="1">
        <v>1</v>
      </c>
      <c r="H518" s="1">
        <v>1</v>
      </c>
      <c r="I518" s="1">
        <v>35783.94</v>
      </c>
      <c r="J518" s="1">
        <v>0</v>
      </c>
      <c r="K518">
        <f t="shared" si="8"/>
        <v>1</v>
      </c>
    </row>
    <row r="519" spans="1:11" x14ac:dyDescent="0.35">
      <c r="A519" s="1">
        <v>518</v>
      </c>
      <c r="B519" s="1">
        <v>66</v>
      </c>
      <c r="C519" s="1" t="s">
        <v>11</v>
      </c>
      <c r="D519" s="1">
        <v>68</v>
      </c>
      <c r="E519" s="1">
        <v>40459.160000000003</v>
      </c>
      <c r="F519" s="1">
        <v>2</v>
      </c>
      <c r="G519" s="1">
        <v>0</v>
      </c>
      <c r="H519" s="1">
        <v>0</v>
      </c>
      <c r="I519" s="1">
        <v>113747.21</v>
      </c>
      <c r="J519" s="1">
        <v>0</v>
      </c>
      <c r="K519">
        <f t="shared" si="8"/>
        <v>1</v>
      </c>
    </row>
    <row r="520" spans="1:11" x14ac:dyDescent="0.35">
      <c r="A520" s="1">
        <v>519</v>
      </c>
      <c r="B520" s="1">
        <v>47</v>
      </c>
      <c r="C520" s="1" t="s">
        <v>10</v>
      </c>
      <c r="D520" s="1">
        <v>42</v>
      </c>
      <c r="E520" s="1">
        <v>44221.21</v>
      </c>
      <c r="F520" s="1">
        <v>1</v>
      </c>
      <c r="G520" s="1">
        <v>1</v>
      </c>
      <c r="H520" s="1">
        <v>1</v>
      </c>
      <c r="I520" s="1">
        <v>43892.01</v>
      </c>
      <c r="J520" s="1">
        <v>0</v>
      </c>
      <c r="K520">
        <f t="shared" si="8"/>
        <v>1</v>
      </c>
    </row>
    <row r="521" spans="1:11" x14ac:dyDescent="0.35">
      <c r="A521" s="1">
        <v>520</v>
      </c>
      <c r="B521" s="1">
        <v>63</v>
      </c>
      <c r="C521" s="1" t="s">
        <v>11</v>
      </c>
      <c r="D521" s="1">
        <v>32</v>
      </c>
      <c r="E521" s="1">
        <v>35001.71</v>
      </c>
      <c r="F521" s="1">
        <v>1</v>
      </c>
      <c r="G521" s="1">
        <v>0</v>
      </c>
      <c r="H521" s="1">
        <v>1</v>
      </c>
      <c r="I521" s="1">
        <v>62690.11</v>
      </c>
      <c r="J521" s="1">
        <v>0</v>
      </c>
      <c r="K521">
        <f t="shared" si="8"/>
        <v>1</v>
      </c>
    </row>
    <row r="522" spans="1:11" x14ac:dyDescent="0.35">
      <c r="A522" s="1">
        <v>521</v>
      </c>
      <c r="B522" s="1">
        <v>69</v>
      </c>
      <c r="C522" s="1" t="s">
        <v>10</v>
      </c>
      <c r="D522" s="1">
        <v>39</v>
      </c>
      <c r="E522" s="1">
        <v>5220.21</v>
      </c>
      <c r="F522" s="1">
        <v>3</v>
      </c>
      <c r="G522" s="1">
        <v>0</v>
      </c>
      <c r="H522" s="1">
        <v>1</v>
      </c>
      <c r="I522" s="1">
        <v>83337.56</v>
      </c>
      <c r="J522" s="1">
        <v>0</v>
      </c>
      <c r="K522">
        <f t="shared" si="8"/>
        <v>1</v>
      </c>
    </row>
    <row r="523" spans="1:11" x14ac:dyDescent="0.35">
      <c r="A523" s="1">
        <v>522</v>
      </c>
      <c r="B523" s="1">
        <v>22</v>
      </c>
      <c r="C523" s="1" t="s">
        <v>10</v>
      </c>
      <c r="D523" s="1">
        <v>36</v>
      </c>
      <c r="E523" s="1">
        <v>19955.009999999998</v>
      </c>
      <c r="F523" s="1">
        <v>3</v>
      </c>
      <c r="G523" s="1">
        <v>0</v>
      </c>
      <c r="H523" s="1">
        <v>0</v>
      </c>
      <c r="I523" s="1">
        <v>23219.43</v>
      </c>
      <c r="J523" s="1">
        <v>0</v>
      </c>
      <c r="K523">
        <f t="shared" si="8"/>
        <v>1</v>
      </c>
    </row>
    <row r="524" spans="1:11" x14ac:dyDescent="0.35">
      <c r="A524" s="1">
        <v>523</v>
      </c>
      <c r="B524" s="1">
        <v>29</v>
      </c>
      <c r="C524" s="1" t="s">
        <v>11</v>
      </c>
      <c r="D524" s="1">
        <v>36</v>
      </c>
      <c r="E524" s="1">
        <v>36157.47</v>
      </c>
      <c r="F524" s="1">
        <v>3</v>
      </c>
      <c r="G524" s="1">
        <v>1</v>
      </c>
      <c r="H524" s="1">
        <v>0</v>
      </c>
      <c r="I524" s="1">
        <v>52346.47</v>
      </c>
      <c r="J524" s="1">
        <v>0</v>
      </c>
      <c r="K524">
        <f t="shared" si="8"/>
        <v>1</v>
      </c>
    </row>
    <row r="525" spans="1:11" x14ac:dyDescent="0.35">
      <c r="A525" s="1">
        <v>524</v>
      </c>
      <c r="B525" s="1">
        <v>33</v>
      </c>
      <c r="C525" s="1" t="s">
        <v>11</v>
      </c>
      <c r="D525" s="1">
        <v>3</v>
      </c>
      <c r="E525" s="1">
        <v>14016.72</v>
      </c>
      <c r="F525" s="1">
        <v>1</v>
      </c>
      <c r="G525" s="1">
        <v>0</v>
      </c>
      <c r="H525" s="1">
        <v>1</v>
      </c>
      <c r="I525" s="1">
        <v>73025.649999999994</v>
      </c>
      <c r="J525" s="1">
        <v>0</v>
      </c>
      <c r="K525">
        <f t="shared" si="8"/>
        <v>1</v>
      </c>
    </row>
    <row r="526" spans="1:11" x14ac:dyDescent="0.35">
      <c r="A526" s="1">
        <v>525</v>
      </c>
      <c r="B526" s="1">
        <v>43</v>
      </c>
      <c r="C526" s="1" t="s">
        <v>10</v>
      </c>
      <c r="D526" s="1">
        <v>8</v>
      </c>
      <c r="E526" s="1">
        <v>34370.32</v>
      </c>
      <c r="F526" s="1">
        <v>2</v>
      </c>
      <c r="G526" s="1">
        <v>1</v>
      </c>
      <c r="H526" s="1">
        <v>1</v>
      </c>
      <c r="I526" s="1">
        <v>56352.72</v>
      </c>
      <c r="J526" s="1">
        <v>0</v>
      </c>
      <c r="K526">
        <f t="shared" si="8"/>
        <v>1</v>
      </c>
    </row>
    <row r="527" spans="1:11" x14ac:dyDescent="0.35">
      <c r="A527" s="1">
        <v>526</v>
      </c>
      <c r="B527" s="1">
        <v>43</v>
      </c>
      <c r="C527" s="1" t="s">
        <v>11</v>
      </c>
      <c r="D527" s="1">
        <v>70</v>
      </c>
      <c r="E527" s="1">
        <v>1224.92</v>
      </c>
      <c r="F527" s="1">
        <v>2</v>
      </c>
      <c r="G527" s="1">
        <v>0</v>
      </c>
      <c r="H527" s="1">
        <v>0</v>
      </c>
      <c r="I527" s="1">
        <v>37728.14</v>
      </c>
      <c r="J527" s="1">
        <v>0</v>
      </c>
      <c r="K527">
        <f t="shared" si="8"/>
        <v>1</v>
      </c>
    </row>
    <row r="528" spans="1:11" x14ac:dyDescent="0.35">
      <c r="A528" s="1">
        <v>527</v>
      </c>
      <c r="B528" s="1">
        <v>65</v>
      </c>
      <c r="C528" s="1" t="s">
        <v>10</v>
      </c>
      <c r="D528" s="1">
        <v>41</v>
      </c>
      <c r="E528" s="1">
        <v>15306.87</v>
      </c>
      <c r="F528" s="1">
        <v>1</v>
      </c>
      <c r="G528" s="1">
        <v>0</v>
      </c>
      <c r="H528" s="1">
        <v>0</v>
      </c>
      <c r="I528" s="1">
        <v>114641.59</v>
      </c>
      <c r="J528" s="1">
        <v>0</v>
      </c>
      <c r="K528">
        <f t="shared" si="8"/>
        <v>1</v>
      </c>
    </row>
    <row r="529" spans="1:11" x14ac:dyDescent="0.35">
      <c r="A529" s="1">
        <v>528</v>
      </c>
      <c r="B529" s="1">
        <v>38</v>
      </c>
      <c r="C529" s="1" t="s">
        <v>10</v>
      </c>
      <c r="D529" s="1">
        <v>68</v>
      </c>
      <c r="E529" s="1">
        <v>27456.52</v>
      </c>
      <c r="F529" s="1">
        <v>4</v>
      </c>
      <c r="G529" s="1">
        <v>0</v>
      </c>
      <c r="H529" s="1">
        <v>0</v>
      </c>
      <c r="I529" s="1">
        <v>125709.2</v>
      </c>
      <c r="J529" s="1">
        <v>0</v>
      </c>
      <c r="K529">
        <f t="shared" si="8"/>
        <v>1</v>
      </c>
    </row>
    <row r="530" spans="1:11" x14ac:dyDescent="0.35">
      <c r="A530" s="1">
        <v>529</v>
      </c>
      <c r="B530" s="1">
        <v>56</v>
      </c>
      <c r="C530" s="1" t="s">
        <v>10</v>
      </c>
      <c r="D530" s="1">
        <v>13</v>
      </c>
      <c r="E530" s="1">
        <v>31604.49</v>
      </c>
      <c r="F530" s="1">
        <v>2</v>
      </c>
      <c r="G530" s="1">
        <v>0</v>
      </c>
      <c r="H530" s="1">
        <v>1</v>
      </c>
      <c r="I530" s="1">
        <v>53472.27</v>
      </c>
      <c r="J530" s="1">
        <v>0</v>
      </c>
      <c r="K530">
        <f t="shared" si="8"/>
        <v>1</v>
      </c>
    </row>
    <row r="531" spans="1:11" x14ac:dyDescent="0.35">
      <c r="A531" s="1">
        <v>530</v>
      </c>
      <c r="B531" s="1">
        <v>53</v>
      </c>
      <c r="C531" s="1" t="s">
        <v>10</v>
      </c>
      <c r="D531" s="1">
        <v>49</v>
      </c>
      <c r="E531" s="1">
        <v>28852.03</v>
      </c>
      <c r="F531" s="1">
        <v>3</v>
      </c>
      <c r="G531" s="1">
        <v>1</v>
      </c>
      <c r="H531" s="1">
        <v>0</v>
      </c>
      <c r="I531" s="1">
        <v>120674.53</v>
      </c>
      <c r="J531" s="1">
        <v>0</v>
      </c>
      <c r="K531">
        <f t="shared" si="8"/>
        <v>1</v>
      </c>
    </row>
    <row r="532" spans="1:11" x14ac:dyDescent="0.35">
      <c r="A532" s="1">
        <v>531</v>
      </c>
      <c r="B532" s="1">
        <v>50</v>
      </c>
      <c r="C532" s="1" t="s">
        <v>10</v>
      </c>
      <c r="D532" s="1">
        <v>60</v>
      </c>
      <c r="E532" s="1">
        <v>34887.81</v>
      </c>
      <c r="F532" s="1">
        <v>4</v>
      </c>
      <c r="G532" s="1">
        <v>0</v>
      </c>
      <c r="H532" s="1">
        <v>1</v>
      </c>
      <c r="I532" s="1">
        <v>70121.960000000006</v>
      </c>
      <c r="J532" s="1">
        <v>0</v>
      </c>
      <c r="K532">
        <f t="shared" si="8"/>
        <v>1</v>
      </c>
    </row>
    <row r="533" spans="1:11" x14ac:dyDescent="0.35">
      <c r="A533" s="1">
        <v>532</v>
      </c>
      <c r="B533" s="1">
        <v>47</v>
      </c>
      <c r="C533" s="1" t="s">
        <v>11</v>
      </c>
      <c r="D533" s="1">
        <v>2</v>
      </c>
      <c r="E533" s="1">
        <v>304.44</v>
      </c>
      <c r="F533" s="1">
        <v>4</v>
      </c>
      <c r="G533" s="1">
        <v>0</v>
      </c>
      <c r="H533" s="1">
        <v>0</v>
      </c>
      <c r="I533" s="1">
        <v>85869.15</v>
      </c>
      <c r="J533" s="1">
        <v>1</v>
      </c>
      <c r="K533">
        <f t="shared" si="8"/>
        <v>1</v>
      </c>
    </row>
    <row r="534" spans="1:11" x14ac:dyDescent="0.35">
      <c r="A534" s="1">
        <v>533</v>
      </c>
      <c r="B534" s="1">
        <v>54</v>
      </c>
      <c r="C534" s="1" t="s">
        <v>10</v>
      </c>
      <c r="D534" s="1">
        <v>60</v>
      </c>
      <c r="E534" s="1">
        <v>5047.0600000000004</v>
      </c>
      <c r="F534" s="1">
        <v>2</v>
      </c>
      <c r="G534" s="1">
        <v>1</v>
      </c>
      <c r="H534" s="1">
        <v>1</v>
      </c>
      <c r="I534" s="1">
        <v>131280.14000000001</v>
      </c>
      <c r="J534" s="1">
        <v>0</v>
      </c>
      <c r="K534">
        <f t="shared" si="8"/>
        <v>1</v>
      </c>
    </row>
    <row r="535" spans="1:11" x14ac:dyDescent="0.35">
      <c r="A535" s="1">
        <v>534</v>
      </c>
      <c r="B535" s="1">
        <v>40</v>
      </c>
      <c r="C535" s="1" t="s">
        <v>10</v>
      </c>
      <c r="D535" s="1">
        <v>5</v>
      </c>
      <c r="E535" s="1">
        <v>43447.21</v>
      </c>
      <c r="F535" s="1">
        <v>4</v>
      </c>
      <c r="G535" s="1">
        <v>0</v>
      </c>
      <c r="H535" s="1">
        <v>1</v>
      </c>
      <c r="I535" s="1">
        <v>117493.98</v>
      </c>
      <c r="J535" s="1">
        <v>0</v>
      </c>
      <c r="K535">
        <f t="shared" si="8"/>
        <v>1</v>
      </c>
    </row>
    <row r="536" spans="1:11" x14ac:dyDescent="0.35">
      <c r="A536" s="1">
        <v>535</v>
      </c>
      <c r="B536" s="1">
        <v>27</v>
      </c>
      <c r="C536" s="1" t="s">
        <v>11</v>
      </c>
      <c r="D536" s="1">
        <v>44</v>
      </c>
      <c r="E536" s="1">
        <v>34087.43</v>
      </c>
      <c r="F536" s="1">
        <v>4</v>
      </c>
      <c r="G536" s="1">
        <v>0</v>
      </c>
      <c r="H536" s="1">
        <v>1</v>
      </c>
      <c r="I536" s="1">
        <v>124665.19</v>
      </c>
      <c r="J536" s="1">
        <v>0</v>
      </c>
      <c r="K536">
        <f t="shared" si="8"/>
        <v>1</v>
      </c>
    </row>
    <row r="537" spans="1:11" x14ac:dyDescent="0.35">
      <c r="A537" s="1">
        <v>536</v>
      </c>
      <c r="B537" s="1">
        <v>22</v>
      </c>
      <c r="C537" s="1" t="s">
        <v>10</v>
      </c>
      <c r="D537" s="1">
        <v>27</v>
      </c>
      <c r="E537" s="1">
        <v>5646.58</v>
      </c>
      <c r="F537" s="1">
        <v>2</v>
      </c>
      <c r="G537" s="1">
        <v>0</v>
      </c>
      <c r="H537" s="1">
        <v>0</v>
      </c>
      <c r="I537" s="1">
        <v>37789.870000000003</v>
      </c>
      <c r="J537" s="1">
        <v>0</v>
      </c>
      <c r="K537">
        <f t="shared" si="8"/>
        <v>1</v>
      </c>
    </row>
    <row r="538" spans="1:11" x14ac:dyDescent="0.35">
      <c r="A538" s="1">
        <v>537</v>
      </c>
      <c r="B538" s="1">
        <v>53</v>
      </c>
      <c r="C538" s="1" t="s">
        <v>11</v>
      </c>
      <c r="D538" s="1">
        <v>32</v>
      </c>
      <c r="E538" s="1">
        <v>42103.72</v>
      </c>
      <c r="F538" s="1">
        <v>2</v>
      </c>
      <c r="G538" s="1">
        <v>0</v>
      </c>
      <c r="H538" s="1">
        <v>0</v>
      </c>
      <c r="I538" s="1">
        <v>29063.53</v>
      </c>
      <c r="J538" s="1">
        <v>0</v>
      </c>
      <c r="K538">
        <f t="shared" si="8"/>
        <v>1</v>
      </c>
    </row>
    <row r="539" spans="1:11" x14ac:dyDescent="0.35">
      <c r="A539" s="1">
        <v>538</v>
      </c>
      <c r="B539" s="1">
        <v>51</v>
      </c>
      <c r="C539" s="1" t="s">
        <v>11</v>
      </c>
      <c r="D539" s="1">
        <v>21</v>
      </c>
      <c r="E539" s="1">
        <v>12111.56</v>
      </c>
      <c r="F539" s="1">
        <v>4</v>
      </c>
      <c r="G539" s="1">
        <v>1</v>
      </c>
      <c r="H539" s="1">
        <v>0</v>
      </c>
      <c r="I539" s="1">
        <v>136142.60999999999</v>
      </c>
      <c r="J539" s="1">
        <v>0</v>
      </c>
      <c r="K539">
        <f t="shared" si="8"/>
        <v>1</v>
      </c>
    </row>
    <row r="540" spans="1:11" x14ac:dyDescent="0.35">
      <c r="A540" s="1">
        <v>539</v>
      </c>
      <c r="B540" s="1">
        <v>69</v>
      </c>
      <c r="C540" s="1" t="s">
        <v>11</v>
      </c>
      <c r="D540" s="1">
        <v>8</v>
      </c>
      <c r="E540" s="1">
        <v>23912.99</v>
      </c>
      <c r="F540" s="1">
        <v>3</v>
      </c>
      <c r="G540" s="1">
        <v>1</v>
      </c>
      <c r="H540" s="1">
        <v>1</v>
      </c>
      <c r="I540" s="1">
        <v>70418.460000000006</v>
      </c>
      <c r="J540" s="1">
        <v>0</v>
      </c>
      <c r="K540">
        <f t="shared" si="8"/>
        <v>1</v>
      </c>
    </row>
    <row r="541" spans="1:11" x14ac:dyDescent="0.35">
      <c r="A541" s="1">
        <v>540</v>
      </c>
      <c r="B541" s="1">
        <v>48</v>
      </c>
      <c r="C541" s="1" t="s">
        <v>10</v>
      </c>
      <c r="D541" s="1">
        <v>50</v>
      </c>
      <c r="E541" s="1">
        <v>7259.83</v>
      </c>
      <c r="F541" s="1">
        <v>1</v>
      </c>
      <c r="G541" s="1">
        <v>0</v>
      </c>
      <c r="H541" s="1">
        <v>1</v>
      </c>
      <c r="I541" s="1">
        <v>57424.36</v>
      </c>
      <c r="J541" s="1">
        <v>0</v>
      </c>
      <c r="K541">
        <f t="shared" si="8"/>
        <v>1</v>
      </c>
    </row>
    <row r="542" spans="1:11" x14ac:dyDescent="0.35">
      <c r="A542" s="1">
        <v>541</v>
      </c>
      <c r="B542" s="1">
        <v>27</v>
      </c>
      <c r="C542" s="1" t="s">
        <v>10</v>
      </c>
      <c r="D542" s="1">
        <v>67</v>
      </c>
      <c r="E542" s="1">
        <v>35505.5</v>
      </c>
      <c r="F542" s="1">
        <v>4</v>
      </c>
      <c r="G542" s="1">
        <v>1</v>
      </c>
      <c r="H542" s="1">
        <v>0</v>
      </c>
      <c r="I542" s="1">
        <v>114210.51</v>
      </c>
      <c r="J542" s="1">
        <v>0</v>
      </c>
      <c r="K542">
        <f t="shared" si="8"/>
        <v>1</v>
      </c>
    </row>
    <row r="543" spans="1:11" x14ac:dyDescent="0.35">
      <c r="A543" s="1">
        <v>542</v>
      </c>
      <c r="B543" s="1">
        <v>36</v>
      </c>
      <c r="C543" s="1" t="s">
        <v>10</v>
      </c>
      <c r="D543" s="1">
        <v>44</v>
      </c>
      <c r="E543" s="1">
        <v>33342.720000000001</v>
      </c>
      <c r="F543" s="1">
        <v>4</v>
      </c>
      <c r="G543" s="1">
        <v>1</v>
      </c>
      <c r="H543" s="1">
        <v>1</v>
      </c>
      <c r="I543" s="1">
        <v>128734.03</v>
      </c>
      <c r="J543" s="1">
        <v>0</v>
      </c>
      <c r="K543">
        <f t="shared" si="8"/>
        <v>1</v>
      </c>
    </row>
    <row r="544" spans="1:11" x14ac:dyDescent="0.35">
      <c r="A544" s="1">
        <v>543</v>
      </c>
      <c r="B544" s="1">
        <v>49</v>
      </c>
      <c r="C544" s="1" t="s">
        <v>11</v>
      </c>
      <c r="D544" s="1">
        <v>58</v>
      </c>
      <c r="E544" s="1">
        <v>10555.62</v>
      </c>
      <c r="F544" s="1">
        <v>3</v>
      </c>
      <c r="G544" s="1">
        <v>0</v>
      </c>
      <c r="H544" s="1">
        <v>1</v>
      </c>
      <c r="I544" s="1">
        <v>132123.65</v>
      </c>
      <c r="J544" s="1">
        <v>0</v>
      </c>
      <c r="K544">
        <f t="shared" si="8"/>
        <v>1</v>
      </c>
    </row>
    <row r="545" spans="1:11" x14ac:dyDescent="0.35">
      <c r="A545" s="1">
        <v>544</v>
      </c>
      <c r="B545" s="1">
        <v>18</v>
      </c>
      <c r="C545" s="1" t="s">
        <v>10</v>
      </c>
      <c r="D545" s="1">
        <v>3</v>
      </c>
      <c r="E545" s="1">
        <v>43170.04</v>
      </c>
      <c r="F545" s="1">
        <v>4</v>
      </c>
      <c r="G545" s="1">
        <v>1</v>
      </c>
      <c r="H545" s="1">
        <v>1</v>
      </c>
      <c r="I545" s="1">
        <v>61079.63</v>
      </c>
      <c r="J545" s="1">
        <v>0</v>
      </c>
      <c r="K545">
        <f t="shared" si="8"/>
        <v>1</v>
      </c>
    </row>
    <row r="546" spans="1:11" x14ac:dyDescent="0.35">
      <c r="A546" s="1">
        <v>545</v>
      </c>
      <c r="B546" s="1">
        <v>22</v>
      </c>
      <c r="C546" s="1" t="s">
        <v>11</v>
      </c>
      <c r="D546" s="1">
        <v>70</v>
      </c>
      <c r="E546" s="1">
        <v>20065.3</v>
      </c>
      <c r="F546" s="1">
        <v>4</v>
      </c>
      <c r="G546" s="1">
        <v>0</v>
      </c>
      <c r="H546" s="1">
        <v>0</v>
      </c>
      <c r="I546" s="1">
        <v>130787.61</v>
      </c>
      <c r="J546" s="1">
        <v>0</v>
      </c>
      <c r="K546">
        <f t="shared" si="8"/>
        <v>1</v>
      </c>
    </row>
    <row r="547" spans="1:11" x14ac:dyDescent="0.35">
      <c r="A547" s="1">
        <v>546</v>
      </c>
      <c r="B547" s="1">
        <v>62</v>
      </c>
      <c r="C547" s="1" t="s">
        <v>10</v>
      </c>
      <c r="D547" s="1">
        <v>2</v>
      </c>
      <c r="E547" s="1">
        <v>14625.75</v>
      </c>
      <c r="F547" s="1">
        <v>1</v>
      </c>
      <c r="G547" s="1">
        <v>1</v>
      </c>
      <c r="H547" s="1">
        <v>1</v>
      </c>
      <c r="I547" s="1">
        <v>25321.41</v>
      </c>
      <c r="J547" s="1">
        <v>0</v>
      </c>
      <c r="K547">
        <f t="shared" si="8"/>
        <v>1</v>
      </c>
    </row>
    <row r="548" spans="1:11" x14ac:dyDescent="0.35">
      <c r="A548" s="1">
        <v>547</v>
      </c>
      <c r="B548" s="1">
        <v>21</v>
      </c>
      <c r="C548" s="1" t="s">
        <v>11</v>
      </c>
      <c r="D548" s="1">
        <v>44</v>
      </c>
      <c r="E548" s="1">
        <v>7616.48</v>
      </c>
      <c r="F548" s="1">
        <v>1</v>
      </c>
      <c r="G548" s="1">
        <v>1</v>
      </c>
      <c r="H548" s="1">
        <v>0</v>
      </c>
      <c r="I548" s="1">
        <v>26455.99</v>
      </c>
      <c r="J548" s="1">
        <v>0</v>
      </c>
      <c r="K548">
        <f t="shared" si="8"/>
        <v>1</v>
      </c>
    </row>
    <row r="549" spans="1:11" x14ac:dyDescent="0.35">
      <c r="A549" s="1">
        <v>548</v>
      </c>
      <c r="B549" s="1">
        <v>33</v>
      </c>
      <c r="C549" s="1" t="s">
        <v>10</v>
      </c>
      <c r="D549" s="1">
        <v>2</v>
      </c>
      <c r="E549" s="1">
        <v>13308.4</v>
      </c>
      <c r="F549" s="1">
        <v>1</v>
      </c>
      <c r="G549" s="1">
        <v>1</v>
      </c>
      <c r="H549" s="1">
        <v>0</v>
      </c>
      <c r="I549" s="1">
        <v>101057.5</v>
      </c>
      <c r="J549" s="1">
        <v>0</v>
      </c>
      <c r="K549">
        <f t="shared" si="8"/>
        <v>1</v>
      </c>
    </row>
    <row r="550" spans="1:11" x14ac:dyDescent="0.35">
      <c r="A550" s="1">
        <v>549</v>
      </c>
      <c r="B550" s="1">
        <v>41</v>
      </c>
      <c r="C550" s="1" t="s">
        <v>10</v>
      </c>
      <c r="D550" s="1">
        <v>35</v>
      </c>
      <c r="E550" s="1">
        <v>1101.3499999999999</v>
      </c>
      <c r="F550" s="1">
        <v>2</v>
      </c>
      <c r="G550" s="1">
        <v>0</v>
      </c>
      <c r="H550" s="1">
        <v>0</v>
      </c>
      <c r="I550" s="1">
        <v>28203.83</v>
      </c>
      <c r="J550" s="1">
        <v>0</v>
      </c>
      <c r="K550">
        <f t="shared" si="8"/>
        <v>1</v>
      </c>
    </row>
    <row r="551" spans="1:11" x14ac:dyDescent="0.35">
      <c r="A551" s="1">
        <v>550</v>
      </c>
      <c r="B551" s="1">
        <v>33</v>
      </c>
      <c r="C551" s="1" t="s">
        <v>10</v>
      </c>
      <c r="D551" s="1">
        <v>30</v>
      </c>
      <c r="E551" s="1">
        <v>29162.87</v>
      </c>
      <c r="F551" s="1">
        <v>2</v>
      </c>
      <c r="G551" s="1">
        <v>1</v>
      </c>
      <c r="H551" s="1">
        <v>0</v>
      </c>
      <c r="I551" s="1">
        <v>62199.19</v>
      </c>
      <c r="J551" s="1">
        <v>0</v>
      </c>
      <c r="K551">
        <f t="shared" si="8"/>
        <v>1</v>
      </c>
    </row>
    <row r="552" spans="1:11" x14ac:dyDescent="0.35">
      <c r="A552" s="1">
        <v>551</v>
      </c>
      <c r="B552" s="1">
        <v>19</v>
      </c>
      <c r="C552" s="1" t="s">
        <v>11</v>
      </c>
      <c r="D552" s="1">
        <v>8</v>
      </c>
      <c r="E552" s="1">
        <v>42111.54</v>
      </c>
      <c r="F552" s="1">
        <v>1</v>
      </c>
      <c r="G552" s="1">
        <v>0</v>
      </c>
      <c r="H552" s="1">
        <v>0</v>
      </c>
      <c r="I552" s="1">
        <v>107458.28</v>
      </c>
      <c r="J552" s="1">
        <v>0</v>
      </c>
      <c r="K552">
        <f t="shared" si="8"/>
        <v>1</v>
      </c>
    </row>
    <row r="553" spans="1:11" x14ac:dyDescent="0.35">
      <c r="A553" s="1">
        <v>552</v>
      </c>
      <c r="B553" s="1">
        <v>66</v>
      </c>
      <c r="C553" s="1" t="s">
        <v>11</v>
      </c>
      <c r="D553" s="1">
        <v>22</v>
      </c>
      <c r="E553" s="1">
        <v>27449.02</v>
      </c>
      <c r="F553" s="1">
        <v>1</v>
      </c>
      <c r="G553" s="1">
        <v>0</v>
      </c>
      <c r="H553" s="1">
        <v>1</v>
      </c>
      <c r="I553" s="1">
        <v>63844.7</v>
      </c>
      <c r="J553" s="1">
        <v>0</v>
      </c>
      <c r="K553">
        <f t="shared" si="8"/>
        <v>1</v>
      </c>
    </row>
    <row r="554" spans="1:11" x14ac:dyDescent="0.35">
      <c r="A554" s="1">
        <v>553</v>
      </c>
      <c r="B554" s="1">
        <v>45</v>
      </c>
      <c r="C554" s="1" t="s">
        <v>10</v>
      </c>
      <c r="D554" s="1">
        <v>44</v>
      </c>
      <c r="E554" s="1">
        <v>10963.7</v>
      </c>
      <c r="F554" s="1">
        <v>2</v>
      </c>
      <c r="G554" s="1">
        <v>1</v>
      </c>
      <c r="H554" s="1">
        <v>0</v>
      </c>
      <c r="I554" s="1">
        <v>43347.97</v>
      </c>
      <c r="J554" s="1">
        <v>0</v>
      </c>
      <c r="K554">
        <f t="shared" si="8"/>
        <v>1</v>
      </c>
    </row>
    <row r="555" spans="1:11" x14ac:dyDescent="0.35">
      <c r="A555" s="1">
        <v>554</v>
      </c>
      <c r="B555" s="1">
        <v>49</v>
      </c>
      <c r="C555" s="1" t="s">
        <v>10</v>
      </c>
      <c r="D555" s="1">
        <v>58</v>
      </c>
      <c r="E555" s="1">
        <v>1683.46</v>
      </c>
      <c r="F555" s="1">
        <v>3</v>
      </c>
      <c r="G555" s="1">
        <v>0</v>
      </c>
      <c r="H555" s="1">
        <v>0</v>
      </c>
      <c r="I555" s="1">
        <v>56575.58</v>
      </c>
      <c r="J555" s="1">
        <v>0</v>
      </c>
      <c r="K555">
        <f t="shared" si="8"/>
        <v>1</v>
      </c>
    </row>
    <row r="556" spans="1:11" x14ac:dyDescent="0.35">
      <c r="A556" s="1">
        <v>555</v>
      </c>
      <c r="B556" s="1">
        <v>44</v>
      </c>
      <c r="C556" s="1" t="s">
        <v>11</v>
      </c>
      <c r="D556" s="1">
        <v>36</v>
      </c>
      <c r="E556" s="1">
        <v>10731.4</v>
      </c>
      <c r="F556" s="1">
        <v>4</v>
      </c>
      <c r="G556" s="1">
        <v>1</v>
      </c>
      <c r="H556" s="1">
        <v>0</v>
      </c>
      <c r="I556" s="1">
        <v>79484.789999999994</v>
      </c>
      <c r="J556" s="1">
        <v>0</v>
      </c>
      <c r="K556">
        <f t="shared" si="8"/>
        <v>1</v>
      </c>
    </row>
    <row r="557" spans="1:11" x14ac:dyDescent="0.35">
      <c r="A557" s="1">
        <v>556</v>
      </c>
      <c r="B557" s="1">
        <v>37</v>
      </c>
      <c r="C557" s="1" t="s">
        <v>11</v>
      </c>
      <c r="D557" s="1">
        <v>69</v>
      </c>
      <c r="E557" s="1">
        <v>20806.07</v>
      </c>
      <c r="F557" s="1">
        <v>4</v>
      </c>
      <c r="G557" s="1">
        <v>0</v>
      </c>
      <c r="H557" s="1">
        <v>1</v>
      </c>
      <c r="I557" s="1">
        <v>81800.160000000003</v>
      </c>
      <c r="J557" s="1">
        <v>0</v>
      </c>
      <c r="K557">
        <f t="shared" si="8"/>
        <v>1</v>
      </c>
    </row>
    <row r="558" spans="1:11" x14ac:dyDescent="0.35">
      <c r="A558" s="1">
        <v>557</v>
      </c>
      <c r="B558" s="1">
        <v>41</v>
      </c>
      <c r="C558" s="1" t="s">
        <v>11</v>
      </c>
      <c r="D558" s="1">
        <v>31</v>
      </c>
      <c r="E558" s="1">
        <v>37980.57</v>
      </c>
      <c r="F558" s="1">
        <v>1</v>
      </c>
      <c r="G558" s="1">
        <v>0</v>
      </c>
      <c r="H558" s="1">
        <v>1</v>
      </c>
      <c r="I558" s="1">
        <v>121790.03</v>
      </c>
      <c r="J558" s="1">
        <v>0</v>
      </c>
      <c r="K558">
        <f t="shared" si="8"/>
        <v>1</v>
      </c>
    </row>
    <row r="559" spans="1:11" x14ac:dyDescent="0.35">
      <c r="A559" s="1">
        <v>558</v>
      </c>
      <c r="B559" s="1">
        <v>29</v>
      </c>
      <c r="C559" s="1" t="s">
        <v>10</v>
      </c>
      <c r="D559" s="1">
        <v>47</v>
      </c>
      <c r="E559" s="1">
        <v>9392.14</v>
      </c>
      <c r="F559" s="1">
        <v>3</v>
      </c>
      <c r="G559" s="1">
        <v>1</v>
      </c>
      <c r="H559" s="1">
        <v>1</v>
      </c>
      <c r="I559" s="1">
        <v>117519.92</v>
      </c>
      <c r="J559" s="1">
        <v>0</v>
      </c>
      <c r="K559">
        <f t="shared" si="8"/>
        <v>1</v>
      </c>
    </row>
    <row r="560" spans="1:11" x14ac:dyDescent="0.35">
      <c r="A560" s="1">
        <v>559</v>
      </c>
      <c r="B560" s="1">
        <v>67</v>
      </c>
      <c r="C560" s="1" t="s">
        <v>11</v>
      </c>
      <c r="D560" s="1">
        <v>55</v>
      </c>
      <c r="E560" s="1">
        <v>35989.57</v>
      </c>
      <c r="F560" s="1">
        <v>2</v>
      </c>
      <c r="G560" s="1">
        <v>1</v>
      </c>
      <c r="H560" s="1">
        <v>1</v>
      </c>
      <c r="I560" s="1">
        <v>79386.31</v>
      </c>
      <c r="J560" s="1">
        <v>0</v>
      </c>
      <c r="K560">
        <f t="shared" si="8"/>
        <v>1</v>
      </c>
    </row>
    <row r="561" spans="1:11" x14ac:dyDescent="0.35">
      <c r="A561" s="1">
        <v>560</v>
      </c>
      <c r="B561" s="1">
        <v>52</v>
      </c>
      <c r="C561" s="1" t="s">
        <v>10</v>
      </c>
      <c r="D561" s="1">
        <v>62</v>
      </c>
      <c r="E561" s="1">
        <v>43346.67</v>
      </c>
      <c r="F561" s="1">
        <v>1</v>
      </c>
      <c r="G561" s="1">
        <v>1</v>
      </c>
      <c r="H561" s="1">
        <v>0</v>
      </c>
      <c r="I561" s="1">
        <v>129936.76</v>
      </c>
      <c r="J561" s="1">
        <v>0</v>
      </c>
      <c r="K561">
        <f t="shared" si="8"/>
        <v>1</v>
      </c>
    </row>
    <row r="562" spans="1:11" x14ac:dyDescent="0.35">
      <c r="A562" s="1">
        <v>561</v>
      </c>
      <c r="B562" s="1">
        <v>50</v>
      </c>
      <c r="C562" s="1" t="s">
        <v>11</v>
      </c>
      <c r="D562" s="1">
        <v>30</v>
      </c>
      <c r="E562" s="1">
        <v>22697.34</v>
      </c>
      <c r="F562" s="1">
        <v>3</v>
      </c>
      <c r="G562" s="1">
        <v>1</v>
      </c>
      <c r="H562" s="1">
        <v>0</v>
      </c>
      <c r="I562" s="1">
        <v>34850.83</v>
      </c>
      <c r="J562" s="1">
        <v>0</v>
      </c>
      <c r="K562">
        <f t="shared" si="8"/>
        <v>1</v>
      </c>
    </row>
    <row r="563" spans="1:11" x14ac:dyDescent="0.35">
      <c r="A563" s="1">
        <v>562</v>
      </c>
      <c r="B563" s="1">
        <v>50</v>
      </c>
      <c r="C563" s="1" t="s">
        <v>10</v>
      </c>
      <c r="D563" s="1">
        <v>55</v>
      </c>
      <c r="E563" s="1">
        <v>41071.599999999999</v>
      </c>
      <c r="F563" s="1">
        <v>3</v>
      </c>
      <c r="G563" s="1">
        <v>0</v>
      </c>
      <c r="H563" s="1">
        <v>1</v>
      </c>
      <c r="I563" s="1">
        <v>53195.94</v>
      </c>
      <c r="J563" s="1">
        <v>0</v>
      </c>
      <c r="K563">
        <f t="shared" si="8"/>
        <v>1</v>
      </c>
    </row>
    <row r="564" spans="1:11" x14ac:dyDescent="0.35">
      <c r="A564" s="1">
        <v>563</v>
      </c>
      <c r="B564" s="1">
        <v>68</v>
      </c>
      <c r="C564" s="1" t="s">
        <v>11</v>
      </c>
      <c r="D564" s="1">
        <v>16</v>
      </c>
      <c r="E564" s="1">
        <v>27732.87</v>
      </c>
      <c r="F564" s="1">
        <v>3</v>
      </c>
      <c r="G564" s="1">
        <v>0</v>
      </c>
      <c r="H564" s="1">
        <v>1</v>
      </c>
      <c r="I564" s="1">
        <v>127636.94</v>
      </c>
      <c r="J564" s="1">
        <v>0</v>
      </c>
      <c r="K564">
        <f t="shared" si="8"/>
        <v>1</v>
      </c>
    </row>
    <row r="565" spans="1:11" x14ac:dyDescent="0.35">
      <c r="A565" s="1">
        <v>564</v>
      </c>
      <c r="B565" s="1">
        <v>60</v>
      </c>
      <c r="C565" s="1" t="s">
        <v>11</v>
      </c>
      <c r="D565" s="1">
        <v>12</v>
      </c>
      <c r="E565" s="1">
        <v>31854.54</v>
      </c>
      <c r="F565" s="1">
        <v>2</v>
      </c>
      <c r="G565" s="1">
        <v>0</v>
      </c>
      <c r="H565" s="1">
        <v>1</v>
      </c>
      <c r="I565" s="1">
        <v>69139.23</v>
      </c>
      <c r="J565" s="1">
        <v>0</v>
      </c>
      <c r="K565">
        <f t="shared" si="8"/>
        <v>1</v>
      </c>
    </row>
    <row r="566" spans="1:11" x14ac:dyDescent="0.35">
      <c r="A566" s="1">
        <v>565</v>
      </c>
      <c r="B566" s="1">
        <v>54</v>
      </c>
      <c r="C566" s="1" t="s">
        <v>11</v>
      </c>
      <c r="D566" s="1">
        <v>17</v>
      </c>
      <c r="E566" s="1">
        <v>26313.919999999998</v>
      </c>
      <c r="F566" s="1">
        <v>2</v>
      </c>
      <c r="G566" s="1">
        <v>1</v>
      </c>
      <c r="H566" s="1">
        <v>1</v>
      </c>
      <c r="I566" s="1">
        <v>147553.60000000001</v>
      </c>
      <c r="J566" s="1">
        <v>0</v>
      </c>
      <c r="K566">
        <f t="shared" si="8"/>
        <v>1</v>
      </c>
    </row>
    <row r="567" spans="1:11" x14ac:dyDescent="0.35">
      <c r="A567" s="1">
        <v>566</v>
      </c>
      <c r="B567" s="1">
        <v>29</v>
      </c>
      <c r="C567" s="1" t="s">
        <v>11</v>
      </c>
      <c r="D567" s="1">
        <v>16</v>
      </c>
      <c r="E567" s="1">
        <v>23158.639999999999</v>
      </c>
      <c r="F567" s="1">
        <v>4</v>
      </c>
      <c r="G567" s="1">
        <v>0</v>
      </c>
      <c r="H567" s="1">
        <v>0</v>
      </c>
      <c r="I567" s="1">
        <v>80612.929999999993</v>
      </c>
      <c r="J567" s="1">
        <v>0</v>
      </c>
      <c r="K567">
        <f t="shared" si="8"/>
        <v>1</v>
      </c>
    </row>
    <row r="568" spans="1:11" x14ac:dyDescent="0.35">
      <c r="A568" s="1">
        <v>567</v>
      </c>
      <c r="B568" s="1">
        <v>20</v>
      </c>
      <c r="C568" s="1" t="s">
        <v>11</v>
      </c>
      <c r="D568" s="1">
        <v>12</v>
      </c>
      <c r="E568" s="1">
        <v>11732.67</v>
      </c>
      <c r="F568" s="1">
        <v>4</v>
      </c>
      <c r="G568" s="1">
        <v>1</v>
      </c>
      <c r="H568" s="1">
        <v>1</v>
      </c>
      <c r="I568" s="1">
        <v>122951.63</v>
      </c>
      <c r="J568" s="1">
        <v>0</v>
      </c>
      <c r="K568">
        <f t="shared" si="8"/>
        <v>1</v>
      </c>
    </row>
    <row r="569" spans="1:11" x14ac:dyDescent="0.35">
      <c r="A569" s="1">
        <v>568</v>
      </c>
      <c r="B569" s="1">
        <v>18</v>
      </c>
      <c r="C569" s="1" t="s">
        <v>10</v>
      </c>
      <c r="D569" s="1">
        <v>8</v>
      </c>
      <c r="E569" s="1">
        <v>15159.7</v>
      </c>
      <c r="F569" s="1">
        <v>3</v>
      </c>
      <c r="G569" s="1">
        <v>0</v>
      </c>
      <c r="H569" s="1">
        <v>1</v>
      </c>
      <c r="I569" s="1">
        <v>72299.92</v>
      </c>
      <c r="J569" s="1">
        <v>0</v>
      </c>
      <c r="K569">
        <f t="shared" si="8"/>
        <v>1</v>
      </c>
    </row>
    <row r="570" spans="1:11" x14ac:dyDescent="0.35">
      <c r="A570" s="1">
        <v>569</v>
      </c>
      <c r="B570" s="1">
        <v>50</v>
      </c>
      <c r="C570" s="1" t="s">
        <v>11</v>
      </c>
      <c r="D570" s="1">
        <v>3</v>
      </c>
      <c r="E570" s="1">
        <v>14498.51</v>
      </c>
      <c r="F570" s="1">
        <v>3</v>
      </c>
      <c r="G570" s="1">
        <v>1</v>
      </c>
      <c r="H570" s="1">
        <v>1</v>
      </c>
      <c r="I570" s="1">
        <v>75243.960000000006</v>
      </c>
      <c r="J570" s="1">
        <v>0</v>
      </c>
      <c r="K570">
        <f t="shared" si="8"/>
        <v>1</v>
      </c>
    </row>
    <row r="571" spans="1:11" x14ac:dyDescent="0.35">
      <c r="A571" s="1">
        <v>570</v>
      </c>
      <c r="B571" s="1">
        <v>57</v>
      </c>
      <c r="C571" s="1" t="s">
        <v>11</v>
      </c>
      <c r="D571" s="1">
        <v>16</v>
      </c>
      <c r="E571" s="1">
        <v>28164.45</v>
      </c>
      <c r="F571" s="1">
        <v>2</v>
      </c>
      <c r="G571" s="1">
        <v>0</v>
      </c>
      <c r="H571" s="1">
        <v>1</v>
      </c>
      <c r="I571" s="1">
        <v>69774.81</v>
      </c>
      <c r="J571" s="1">
        <v>0</v>
      </c>
      <c r="K571">
        <f t="shared" si="8"/>
        <v>1</v>
      </c>
    </row>
    <row r="572" spans="1:11" x14ac:dyDescent="0.35">
      <c r="A572" s="1">
        <v>571</v>
      </c>
      <c r="B572" s="1">
        <v>27</v>
      </c>
      <c r="C572" s="1" t="s">
        <v>11</v>
      </c>
      <c r="D572" s="1">
        <v>30</v>
      </c>
      <c r="E572" s="1">
        <v>5997.68</v>
      </c>
      <c r="F572" s="1">
        <v>4</v>
      </c>
      <c r="G572" s="1">
        <v>0</v>
      </c>
      <c r="H572" s="1">
        <v>1</v>
      </c>
      <c r="I572" s="1">
        <v>113479.83</v>
      </c>
      <c r="J572" s="1">
        <v>0</v>
      </c>
      <c r="K572">
        <f t="shared" si="8"/>
        <v>1</v>
      </c>
    </row>
    <row r="573" spans="1:11" x14ac:dyDescent="0.35">
      <c r="A573" s="1">
        <v>572</v>
      </c>
      <c r="B573" s="1">
        <v>60</v>
      </c>
      <c r="C573" s="1" t="s">
        <v>10</v>
      </c>
      <c r="D573" s="1">
        <v>23</v>
      </c>
      <c r="E573" s="1">
        <v>45839.58</v>
      </c>
      <c r="F573" s="1">
        <v>3</v>
      </c>
      <c r="G573" s="1">
        <v>1</v>
      </c>
      <c r="H573" s="1">
        <v>1</v>
      </c>
      <c r="I573" s="1">
        <v>91177.32</v>
      </c>
      <c r="J573" s="1">
        <v>0</v>
      </c>
      <c r="K573">
        <f t="shared" si="8"/>
        <v>1</v>
      </c>
    </row>
    <row r="574" spans="1:11" x14ac:dyDescent="0.35">
      <c r="A574" s="1">
        <v>573</v>
      </c>
      <c r="B574" s="1">
        <v>61</v>
      </c>
      <c r="C574" s="1" t="s">
        <v>11</v>
      </c>
      <c r="D574" s="1">
        <v>5</v>
      </c>
      <c r="E574" s="1">
        <v>36032.76</v>
      </c>
      <c r="F574" s="1">
        <v>4</v>
      </c>
      <c r="G574" s="1">
        <v>0</v>
      </c>
      <c r="H574" s="1">
        <v>1</v>
      </c>
      <c r="I574" s="1">
        <v>142691.15</v>
      </c>
      <c r="J574" s="1">
        <v>0</v>
      </c>
      <c r="K574">
        <f t="shared" si="8"/>
        <v>1</v>
      </c>
    </row>
    <row r="575" spans="1:11" x14ac:dyDescent="0.35">
      <c r="A575" s="1">
        <v>574</v>
      </c>
      <c r="B575" s="1">
        <v>46</v>
      </c>
      <c r="C575" s="1" t="s">
        <v>10</v>
      </c>
      <c r="D575" s="1">
        <v>65</v>
      </c>
      <c r="E575" s="1">
        <v>20072.28</v>
      </c>
      <c r="F575" s="1">
        <v>4</v>
      </c>
      <c r="G575" s="1">
        <v>1</v>
      </c>
      <c r="H575" s="1">
        <v>0</v>
      </c>
      <c r="I575" s="1">
        <v>52615.74</v>
      </c>
      <c r="J575" s="1">
        <v>0</v>
      </c>
      <c r="K575">
        <f t="shared" si="8"/>
        <v>1</v>
      </c>
    </row>
    <row r="576" spans="1:11" x14ac:dyDescent="0.35">
      <c r="A576" s="1">
        <v>575</v>
      </c>
      <c r="B576" s="1">
        <v>30</v>
      </c>
      <c r="C576" s="1" t="s">
        <v>11</v>
      </c>
      <c r="D576" s="1">
        <v>30</v>
      </c>
      <c r="E576" s="1">
        <v>7931.21</v>
      </c>
      <c r="F576" s="1">
        <v>3</v>
      </c>
      <c r="G576" s="1">
        <v>0</v>
      </c>
      <c r="H576" s="1">
        <v>0</v>
      </c>
      <c r="I576" s="1">
        <v>33073.160000000003</v>
      </c>
      <c r="J576" s="1">
        <v>0</v>
      </c>
      <c r="K576">
        <f t="shared" si="8"/>
        <v>1</v>
      </c>
    </row>
    <row r="577" spans="1:11" x14ac:dyDescent="0.35">
      <c r="A577" s="1">
        <v>576</v>
      </c>
      <c r="B577" s="1">
        <v>29</v>
      </c>
      <c r="C577" s="1" t="s">
        <v>11</v>
      </c>
      <c r="D577" s="1">
        <v>21</v>
      </c>
      <c r="E577" s="1">
        <v>44099.61</v>
      </c>
      <c r="F577" s="1">
        <v>2</v>
      </c>
      <c r="G577" s="1">
        <v>0</v>
      </c>
      <c r="H577" s="1">
        <v>0</v>
      </c>
      <c r="I577" s="1">
        <v>71123.990000000005</v>
      </c>
      <c r="J577" s="1">
        <v>0</v>
      </c>
      <c r="K577">
        <f t="shared" si="8"/>
        <v>1</v>
      </c>
    </row>
    <row r="578" spans="1:11" x14ac:dyDescent="0.35">
      <c r="A578" s="1">
        <v>577</v>
      </c>
      <c r="B578" s="1">
        <v>48</v>
      </c>
      <c r="C578" s="1" t="s">
        <v>10</v>
      </c>
      <c r="D578" s="1">
        <v>70</v>
      </c>
      <c r="E578" s="1">
        <v>41188.9</v>
      </c>
      <c r="F578" s="1">
        <v>3</v>
      </c>
      <c r="G578" s="1">
        <v>1</v>
      </c>
      <c r="H578" s="1">
        <v>0</v>
      </c>
      <c r="I578" s="1">
        <v>100172.65</v>
      </c>
      <c r="J578" s="1">
        <v>0</v>
      </c>
      <c r="K578">
        <f t="shared" si="8"/>
        <v>1</v>
      </c>
    </row>
    <row r="579" spans="1:11" x14ac:dyDescent="0.35">
      <c r="A579" s="1">
        <v>578</v>
      </c>
      <c r="B579" s="1">
        <v>63</v>
      </c>
      <c r="C579" s="1" t="s">
        <v>11</v>
      </c>
      <c r="D579" s="1">
        <v>22</v>
      </c>
      <c r="E579" s="1">
        <v>36086.080000000002</v>
      </c>
      <c r="F579" s="1">
        <v>3</v>
      </c>
      <c r="G579" s="1">
        <v>1</v>
      </c>
      <c r="H579" s="1">
        <v>0</v>
      </c>
      <c r="I579" s="1">
        <v>131903.85999999999</v>
      </c>
      <c r="J579" s="1">
        <v>0</v>
      </c>
      <c r="K579">
        <f t="shared" ref="K579:K642" si="9">COUNTIF($A$2:$A$1001,A579)</f>
        <v>1</v>
      </c>
    </row>
    <row r="580" spans="1:11" x14ac:dyDescent="0.35">
      <c r="A580" s="1">
        <v>579</v>
      </c>
      <c r="B580" s="1">
        <v>19</v>
      </c>
      <c r="C580" s="1" t="s">
        <v>10</v>
      </c>
      <c r="D580" s="1">
        <v>32</v>
      </c>
      <c r="E580" s="1">
        <v>13577.35</v>
      </c>
      <c r="F580" s="1">
        <v>4</v>
      </c>
      <c r="G580" s="1">
        <v>0</v>
      </c>
      <c r="H580" s="1">
        <v>0</v>
      </c>
      <c r="I580" s="1">
        <v>65005.599999999999</v>
      </c>
      <c r="J580" s="1">
        <v>0</v>
      </c>
      <c r="K580">
        <f t="shared" si="9"/>
        <v>1</v>
      </c>
    </row>
    <row r="581" spans="1:11" x14ac:dyDescent="0.35">
      <c r="A581" s="1">
        <v>580</v>
      </c>
      <c r="B581" s="1">
        <v>68</v>
      </c>
      <c r="C581" s="1" t="s">
        <v>10</v>
      </c>
      <c r="D581" s="1">
        <v>33</v>
      </c>
      <c r="E581" s="1">
        <v>20122.330000000002</v>
      </c>
      <c r="F581" s="1">
        <v>3</v>
      </c>
      <c r="G581" s="1">
        <v>0</v>
      </c>
      <c r="H581" s="1">
        <v>1</v>
      </c>
      <c r="I581" s="1">
        <v>104992.28</v>
      </c>
      <c r="J581" s="1">
        <v>0</v>
      </c>
      <c r="K581">
        <f t="shared" si="9"/>
        <v>1</v>
      </c>
    </row>
    <row r="582" spans="1:11" x14ac:dyDescent="0.35">
      <c r="A582" s="1">
        <v>581</v>
      </c>
      <c r="B582" s="1">
        <v>67</v>
      </c>
      <c r="C582" s="1" t="s">
        <v>11</v>
      </c>
      <c r="D582" s="1">
        <v>16</v>
      </c>
      <c r="E582" s="1">
        <v>5137.41</v>
      </c>
      <c r="F582" s="1">
        <v>2</v>
      </c>
      <c r="G582" s="1">
        <v>0</v>
      </c>
      <c r="H582" s="1">
        <v>1</v>
      </c>
      <c r="I582" s="1">
        <v>65525.83</v>
      </c>
      <c r="J582" s="1">
        <v>0</v>
      </c>
      <c r="K582">
        <f t="shared" si="9"/>
        <v>1</v>
      </c>
    </row>
    <row r="583" spans="1:11" x14ac:dyDescent="0.35">
      <c r="A583" s="1">
        <v>582</v>
      </c>
      <c r="B583" s="1">
        <v>52</v>
      </c>
      <c r="C583" s="1" t="s">
        <v>10</v>
      </c>
      <c r="D583" s="1">
        <v>38</v>
      </c>
      <c r="E583" s="1">
        <v>9451.98</v>
      </c>
      <c r="F583" s="1">
        <v>3</v>
      </c>
      <c r="G583" s="1">
        <v>0</v>
      </c>
      <c r="H583" s="1">
        <v>0</v>
      </c>
      <c r="I583" s="1">
        <v>100238.55</v>
      </c>
      <c r="J583" s="1">
        <v>0</v>
      </c>
      <c r="K583">
        <f t="shared" si="9"/>
        <v>1</v>
      </c>
    </row>
    <row r="584" spans="1:11" x14ac:dyDescent="0.35">
      <c r="A584" s="1">
        <v>583</v>
      </c>
      <c r="B584" s="1">
        <v>40</v>
      </c>
      <c r="C584" s="1" t="s">
        <v>11</v>
      </c>
      <c r="D584" s="1">
        <v>14</v>
      </c>
      <c r="E584" s="1">
        <v>39150.83</v>
      </c>
      <c r="F584" s="1">
        <v>2</v>
      </c>
      <c r="G584" s="1">
        <v>0</v>
      </c>
      <c r="H584" s="1">
        <v>1</v>
      </c>
      <c r="I584" s="1">
        <v>135025.03</v>
      </c>
      <c r="J584" s="1">
        <v>0</v>
      </c>
      <c r="K584">
        <f t="shared" si="9"/>
        <v>1</v>
      </c>
    </row>
    <row r="585" spans="1:11" x14ac:dyDescent="0.35">
      <c r="A585" s="1">
        <v>584</v>
      </c>
      <c r="B585" s="1">
        <v>34</v>
      </c>
      <c r="C585" s="1" t="s">
        <v>11</v>
      </c>
      <c r="D585" s="1">
        <v>36</v>
      </c>
      <c r="E585" s="1">
        <v>35751.94</v>
      </c>
      <c r="F585" s="1">
        <v>2</v>
      </c>
      <c r="G585" s="1">
        <v>0</v>
      </c>
      <c r="H585" s="1">
        <v>0</v>
      </c>
      <c r="I585" s="1">
        <v>50076.49</v>
      </c>
      <c r="J585" s="1">
        <v>0</v>
      </c>
      <c r="K585">
        <f t="shared" si="9"/>
        <v>1</v>
      </c>
    </row>
    <row r="586" spans="1:11" x14ac:dyDescent="0.35">
      <c r="A586" s="1">
        <v>585</v>
      </c>
      <c r="B586" s="1">
        <v>43</v>
      </c>
      <c r="C586" s="1" t="s">
        <v>10</v>
      </c>
      <c r="D586" s="1">
        <v>23</v>
      </c>
      <c r="E586" s="1">
        <v>29674.29</v>
      </c>
      <c r="F586" s="1">
        <v>4</v>
      </c>
      <c r="G586" s="1">
        <v>1</v>
      </c>
      <c r="H586" s="1">
        <v>1</v>
      </c>
      <c r="I586" s="1">
        <v>72551.41</v>
      </c>
      <c r="J586" s="1">
        <v>0</v>
      </c>
      <c r="K586">
        <f t="shared" si="9"/>
        <v>1</v>
      </c>
    </row>
    <row r="587" spans="1:11" x14ac:dyDescent="0.35">
      <c r="A587" s="1">
        <v>586</v>
      </c>
      <c r="B587" s="1">
        <v>25</v>
      </c>
      <c r="C587" s="1" t="s">
        <v>10</v>
      </c>
      <c r="D587" s="1">
        <v>66</v>
      </c>
      <c r="E587" s="1">
        <v>44786.34</v>
      </c>
      <c r="F587" s="1">
        <v>1</v>
      </c>
      <c r="G587" s="1">
        <v>1</v>
      </c>
      <c r="H587" s="1">
        <v>1</v>
      </c>
      <c r="I587" s="1">
        <v>149124.48000000001</v>
      </c>
      <c r="J587" s="1">
        <v>0</v>
      </c>
      <c r="K587">
        <f t="shared" si="9"/>
        <v>1</v>
      </c>
    </row>
    <row r="588" spans="1:11" x14ac:dyDescent="0.35">
      <c r="A588" s="1">
        <v>587</v>
      </c>
      <c r="B588" s="1">
        <v>46</v>
      </c>
      <c r="C588" s="1" t="s">
        <v>10</v>
      </c>
      <c r="D588" s="1">
        <v>2</v>
      </c>
      <c r="E588" s="1">
        <v>29163.33</v>
      </c>
      <c r="F588" s="1">
        <v>1</v>
      </c>
      <c r="G588" s="1">
        <v>1</v>
      </c>
      <c r="H588" s="1">
        <v>1</v>
      </c>
      <c r="I588" s="1">
        <v>132912.41</v>
      </c>
      <c r="J588" s="1">
        <v>0</v>
      </c>
      <c r="K588">
        <f t="shared" si="9"/>
        <v>1</v>
      </c>
    </row>
    <row r="589" spans="1:11" x14ac:dyDescent="0.35">
      <c r="A589" s="1">
        <v>588</v>
      </c>
      <c r="B589" s="1">
        <v>43</v>
      </c>
      <c r="C589" s="1" t="s">
        <v>10</v>
      </c>
      <c r="D589" s="1">
        <v>65</v>
      </c>
      <c r="E589" s="1">
        <v>23348.400000000001</v>
      </c>
      <c r="F589" s="1">
        <v>4</v>
      </c>
      <c r="G589" s="1">
        <v>0</v>
      </c>
      <c r="H589" s="1">
        <v>1</v>
      </c>
      <c r="I589" s="1">
        <v>93403.18</v>
      </c>
      <c r="J589" s="1">
        <v>0</v>
      </c>
      <c r="K589">
        <f t="shared" si="9"/>
        <v>1</v>
      </c>
    </row>
    <row r="590" spans="1:11" x14ac:dyDescent="0.35">
      <c r="A590" s="1">
        <v>589</v>
      </c>
      <c r="B590" s="1">
        <v>27</v>
      </c>
      <c r="C590" s="1" t="s">
        <v>11</v>
      </c>
      <c r="D590" s="1">
        <v>67</v>
      </c>
      <c r="E590" s="1">
        <v>17018.54</v>
      </c>
      <c r="F590" s="1">
        <v>3</v>
      </c>
      <c r="G590" s="1">
        <v>0</v>
      </c>
      <c r="H590" s="1">
        <v>1</v>
      </c>
      <c r="I590" s="1">
        <v>87161.59</v>
      </c>
      <c r="J590" s="1">
        <v>0</v>
      </c>
      <c r="K590">
        <f t="shared" si="9"/>
        <v>1</v>
      </c>
    </row>
    <row r="591" spans="1:11" x14ac:dyDescent="0.35">
      <c r="A591" s="1">
        <v>590</v>
      </c>
      <c r="B591" s="1">
        <v>43</v>
      </c>
      <c r="C591" s="1" t="s">
        <v>11</v>
      </c>
      <c r="D591" s="1">
        <v>52</v>
      </c>
      <c r="E591" s="1">
        <v>47022.43</v>
      </c>
      <c r="F591" s="1">
        <v>4</v>
      </c>
      <c r="G591" s="1">
        <v>0</v>
      </c>
      <c r="H591" s="1">
        <v>1</v>
      </c>
      <c r="I591" s="1">
        <v>56998.05</v>
      </c>
      <c r="J591" s="1">
        <v>0</v>
      </c>
      <c r="K591">
        <f t="shared" si="9"/>
        <v>1</v>
      </c>
    </row>
    <row r="592" spans="1:11" x14ac:dyDescent="0.35">
      <c r="A592" s="1">
        <v>591</v>
      </c>
      <c r="B592" s="1">
        <v>51</v>
      </c>
      <c r="C592" s="1" t="s">
        <v>10</v>
      </c>
      <c r="D592" s="1">
        <v>62</v>
      </c>
      <c r="E592" s="1">
        <v>4135.7700000000004</v>
      </c>
      <c r="F592" s="1">
        <v>2</v>
      </c>
      <c r="G592" s="1">
        <v>1</v>
      </c>
      <c r="H592" s="1">
        <v>0</v>
      </c>
      <c r="I592" s="1">
        <v>87237.23</v>
      </c>
      <c r="J592" s="1">
        <v>0</v>
      </c>
      <c r="K592">
        <f t="shared" si="9"/>
        <v>1</v>
      </c>
    </row>
    <row r="593" spans="1:11" x14ac:dyDescent="0.35">
      <c r="A593" s="1">
        <v>592</v>
      </c>
      <c r="B593" s="1">
        <v>68</v>
      </c>
      <c r="C593" s="1" t="s">
        <v>11</v>
      </c>
      <c r="D593" s="1">
        <v>23</v>
      </c>
      <c r="E593" s="1">
        <v>46544.37</v>
      </c>
      <c r="F593" s="1">
        <v>1</v>
      </c>
      <c r="G593" s="1">
        <v>1</v>
      </c>
      <c r="H593" s="1">
        <v>0</v>
      </c>
      <c r="I593" s="1">
        <v>130263.59</v>
      </c>
      <c r="J593" s="1">
        <v>0</v>
      </c>
      <c r="K593">
        <f t="shared" si="9"/>
        <v>1</v>
      </c>
    </row>
    <row r="594" spans="1:11" x14ac:dyDescent="0.35">
      <c r="A594" s="1">
        <v>593</v>
      </c>
      <c r="B594" s="1">
        <v>58</v>
      </c>
      <c r="C594" s="1" t="s">
        <v>11</v>
      </c>
      <c r="D594" s="1">
        <v>26</v>
      </c>
      <c r="E594" s="1">
        <v>41335.730000000003</v>
      </c>
      <c r="F594" s="1">
        <v>4</v>
      </c>
      <c r="G594" s="1">
        <v>0</v>
      </c>
      <c r="H594" s="1">
        <v>1</v>
      </c>
      <c r="I594" s="1">
        <v>109072.69</v>
      </c>
      <c r="J594" s="1">
        <v>0</v>
      </c>
      <c r="K594">
        <f t="shared" si="9"/>
        <v>1</v>
      </c>
    </row>
    <row r="595" spans="1:11" x14ac:dyDescent="0.35">
      <c r="A595" s="1">
        <v>594</v>
      </c>
      <c r="B595" s="1">
        <v>24</v>
      </c>
      <c r="C595" s="1" t="s">
        <v>11</v>
      </c>
      <c r="D595" s="1">
        <v>68</v>
      </c>
      <c r="E595" s="1">
        <v>6496.5</v>
      </c>
      <c r="F595" s="1">
        <v>3</v>
      </c>
      <c r="G595" s="1">
        <v>0</v>
      </c>
      <c r="H595" s="1">
        <v>0</v>
      </c>
      <c r="I595" s="1">
        <v>57705.72</v>
      </c>
      <c r="J595" s="1">
        <v>0</v>
      </c>
      <c r="K595">
        <f t="shared" si="9"/>
        <v>1</v>
      </c>
    </row>
    <row r="596" spans="1:11" x14ac:dyDescent="0.35">
      <c r="A596" s="1">
        <v>595</v>
      </c>
      <c r="B596" s="1">
        <v>21</v>
      </c>
      <c r="C596" s="1" t="s">
        <v>11</v>
      </c>
      <c r="D596" s="1">
        <v>55</v>
      </c>
      <c r="E596" s="1">
        <v>28249.22</v>
      </c>
      <c r="F596" s="1">
        <v>4</v>
      </c>
      <c r="G596" s="1">
        <v>1</v>
      </c>
      <c r="H596" s="1">
        <v>1</v>
      </c>
      <c r="I596" s="1">
        <v>46190.31</v>
      </c>
      <c r="J596" s="1">
        <v>0</v>
      </c>
      <c r="K596">
        <f t="shared" si="9"/>
        <v>1</v>
      </c>
    </row>
    <row r="597" spans="1:11" x14ac:dyDescent="0.35">
      <c r="A597" s="1">
        <v>596</v>
      </c>
      <c r="B597" s="1">
        <v>67</v>
      </c>
      <c r="C597" s="1" t="s">
        <v>10</v>
      </c>
      <c r="D597" s="1">
        <v>6</v>
      </c>
      <c r="E597" s="1">
        <v>43327.4</v>
      </c>
      <c r="F597" s="1">
        <v>1</v>
      </c>
      <c r="G597" s="1">
        <v>1</v>
      </c>
      <c r="H597" s="1">
        <v>0</v>
      </c>
      <c r="I597" s="1">
        <v>54477.11</v>
      </c>
      <c r="J597" s="1">
        <v>0</v>
      </c>
      <c r="K597">
        <f t="shared" si="9"/>
        <v>1</v>
      </c>
    </row>
    <row r="598" spans="1:11" x14ac:dyDescent="0.35">
      <c r="A598" s="1">
        <v>597</v>
      </c>
      <c r="B598" s="1">
        <v>62</v>
      </c>
      <c r="C598" s="1" t="s">
        <v>10</v>
      </c>
      <c r="D598" s="1">
        <v>35</v>
      </c>
      <c r="E598" s="1">
        <v>28590.46</v>
      </c>
      <c r="F598" s="1">
        <v>4</v>
      </c>
      <c r="G598" s="1">
        <v>1</v>
      </c>
      <c r="H598" s="1">
        <v>1</v>
      </c>
      <c r="I598" s="1">
        <v>42068.7</v>
      </c>
      <c r="J598" s="1">
        <v>0</v>
      </c>
      <c r="K598">
        <f t="shared" si="9"/>
        <v>1</v>
      </c>
    </row>
    <row r="599" spans="1:11" x14ac:dyDescent="0.35">
      <c r="A599" s="1">
        <v>598</v>
      </c>
      <c r="B599" s="1">
        <v>28</v>
      </c>
      <c r="C599" s="1" t="s">
        <v>11</v>
      </c>
      <c r="D599" s="1">
        <v>22</v>
      </c>
      <c r="E599" s="1">
        <v>45359.99</v>
      </c>
      <c r="F599" s="1">
        <v>4</v>
      </c>
      <c r="G599" s="1">
        <v>0</v>
      </c>
      <c r="H599" s="1">
        <v>0</v>
      </c>
      <c r="I599" s="1">
        <v>32433.29</v>
      </c>
      <c r="J599" s="1">
        <v>0</v>
      </c>
      <c r="K599">
        <f t="shared" si="9"/>
        <v>1</v>
      </c>
    </row>
    <row r="600" spans="1:11" x14ac:dyDescent="0.35">
      <c r="A600" s="1">
        <v>599</v>
      </c>
      <c r="B600" s="1">
        <v>46</v>
      </c>
      <c r="C600" s="1" t="s">
        <v>10</v>
      </c>
      <c r="D600" s="1">
        <v>43</v>
      </c>
      <c r="E600" s="1">
        <v>47149.19</v>
      </c>
      <c r="F600" s="1">
        <v>1</v>
      </c>
      <c r="G600" s="1">
        <v>0</v>
      </c>
      <c r="H600" s="1">
        <v>1</v>
      </c>
      <c r="I600" s="1">
        <v>74487.7</v>
      </c>
      <c r="J600" s="1">
        <v>0</v>
      </c>
      <c r="K600">
        <f t="shared" si="9"/>
        <v>1</v>
      </c>
    </row>
    <row r="601" spans="1:11" x14ac:dyDescent="0.35">
      <c r="A601" s="1">
        <v>600</v>
      </c>
      <c r="B601" s="1">
        <v>53</v>
      </c>
      <c r="C601" s="1" t="s">
        <v>10</v>
      </c>
      <c r="D601" s="1">
        <v>15</v>
      </c>
      <c r="E601" s="1">
        <v>21119.23</v>
      </c>
      <c r="F601" s="1">
        <v>2</v>
      </c>
      <c r="G601" s="1">
        <v>0</v>
      </c>
      <c r="H601" s="1">
        <v>0</v>
      </c>
      <c r="I601" s="1">
        <v>34728.949999999997</v>
      </c>
      <c r="J601" s="1">
        <v>0</v>
      </c>
      <c r="K601">
        <f t="shared" si="9"/>
        <v>1</v>
      </c>
    </row>
    <row r="602" spans="1:11" x14ac:dyDescent="0.35">
      <c r="A602" s="1">
        <v>601</v>
      </c>
      <c r="B602" s="1">
        <v>42</v>
      </c>
      <c r="C602" s="1" t="s">
        <v>10</v>
      </c>
      <c r="D602" s="1">
        <v>60</v>
      </c>
      <c r="E602" s="1">
        <v>18865.68</v>
      </c>
      <c r="F602" s="1">
        <v>2</v>
      </c>
      <c r="G602" s="1">
        <v>1</v>
      </c>
      <c r="H602" s="1">
        <v>1</v>
      </c>
      <c r="I602" s="1">
        <v>42348.63</v>
      </c>
      <c r="J602" s="1">
        <v>0</v>
      </c>
      <c r="K602">
        <f t="shared" si="9"/>
        <v>1</v>
      </c>
    </row>
    <row r="603" spans="1:11" x14ac:dyDescent="0.35">
      <c r="A603" s="1">
        <v>602</v>
      </c>
      <c r="B603" s="1">
        <v>38</v>
      </c>
      <c r="C603" s="1" t="s">
        <v>11</v>
      </c>
      <c r="D603" s="1">
        <v>12</v>
      </c>
      <c r="E603" s="1">
        <v>46816.06</v>
      </c>
      <c r="F603" s="1">
        <v>1</v>
      </c>
      <c r="G603" s="1">
        <v>1</v>
      </c>
      <c r="H603" s="1">
        <v>0</v>
      </c>
      <c r="I603" s="1">
        <v>91152.21</v>
      </c>
      <c r="J603" s="1">
        <v>0</v>
      </c>
      <c r="K603">
        <f t="shared" si="9"/>
        <v>1</v>
      </c>
    </row>
    <row r="604" spans="1:11" x14ac:dyDescent="0.35">
      <c r="A604" s="1">
        <v>603</v>
      </c>
      <c r="B604" s="1">
        <v>53</v>
      </c>
      <c r="C604" s="1" t="s">
        <v>11</v>
      </c>
      <c r="D604" s="1">
        <v>49</v>
      </c>
      <c r="E604" s="1">
        <v>33757</v>
      </c>
      <c r="F604" s="1">
        <v>4</v>
      </c>
      <c r="G604" s="1">
        <v>0</v>
      </c>
      <c r="H604" s="1">
        <v>1</v>
      </c>
      <c r="I604" s="1">
        <v>41397.910000000003</v>
      </c>
      <c r="J604" s="1">
        <v>0</v>
      </c>
      <c r="K604">
        <f t="shared" si="9"/>
        <v>1</v>
      </c>
    </row>
    <row r="605" spans="1:11" x14ac:dyDescent="0.35">
      <c r="A605" s="1">
        <v>604</v>
      </c>
      <c r="B605" s="1">
        <v>27</v>
      </c>
      <c r="C605" s="1" t="s">
        <v>11</v>
      </c>
      <c r="D605" s="1">
        <v>42</v>
      </c>
      <c r="E605" s="1">
        <v>5801.13</v>
      </c>
      <c r="F605" s="1">
        <v>1</v>
      </c>
      <c r="G605" s="1">
        <v>0</v>
      </c>
      <c r="H605" s="1">
        <v>1</v>
      </c>
      <c r="I605" s="1">
        <v>28304.37</v>
      </c>
      <c r="J605" s="1">
        <v>0</v>
      </c>
      <c r="K605">
        <f t="shared" si="9"/>
        <v>1</v>
      </c>
    </row>
    <row r="606" spans="1:11" x14ac:dyDescent="0.35">
      <c r="A606" s="1">
        <v>605</v>
      </c>
      <c r="B606" s="1">
        <v>54</v>
      </c>
      <c r="C606" s="1" t="s">
        <v>10</v>
      </c>
      <c r="D606" s="1">
        <v>38</v>
      </c>
      <c r="E606" s="1">
        <v>2114.59</v>
      </c>
      <c r="F606" s="1">
        <v>2</v>
      </c>
      <c r="G606" s="1">
        <v>1</v>
      </c>
      <c r="H606" s="1">
        <v>1</v>
      </c>
      <c r="I606" s="1">
        <v>61260.55</v>
      </c>
      <c r="J606" s="1">
        <v>0</v>
      </c>
      <c r="K606">
        <f t="shared" si="9"/>
        <v>1</v>
      </c>
    </row>
    <row r="607" spans="1:11" x14ac:dyDescent="0.35">
      <c r="A607" s="1">
        <v>606</v>
      </c>
      <c r="B607" s="1">
        <v>26</v>
      </c>
      <c r="C607" s="1" t="s">
        <v>11</v>
      </c>
      <c r="D607" s="1">
        <v>45</v>
      </c>
      <c r="E607" s="1">
        <v>28231.45</v>
      </c>
      <c r="F607" s="1">
        <v>3</v>
      </c>
      <c r="G607" s="1">
        <v>0</v>
      </c>
      <c r="H607" s="1">
        <v>0</v>
      </c>
      <c r="I607" s="1">
        <v>48641.48</v>
      </c>
      <c r="J607" s="1">
        <v>0</v>
      </c>
      <c r="K607">
        <f t="shared" si="9"/>
        <v>1</v>
      </c>
    </row>
    <row r="608" spans="1:11" x14ac:dyDescent="0.35">
      <c r="A608" s="1">
        <v>607</v>
      </c>
      <c r="B608" s="1">
        <v>41</v>
      </c>
      <c r="C608" s="1" t="s">
        <v>11</v>
      </c>
      <c r="D608" s="1">
        <v>35</v>
      </c>
      <c r="E608" s="1">
        <v>46508.55</v>
      </c>
      <c r="F608" s="1">
        <v>4</v>
      </c>
      <c r="G608" s="1">
        <v>1</v>
      </c>
      <c r="H608" s="1">
        <v>0</v>
      </c>
      <c r="I608" s="1">
        <v>86989.67</v>
      </c>
      <c r="J608" s="1">
        <v>0</v>
      </c>
      <c r="K608">
        <f t="shared" si="9"/>
        <v>1</v>
      </c>
    </row>
    <row r="609" spans="1:11" x14ac:dyDescent="0.35">
      <c r="A609" s="1">
        <v>608</v>
      </c>
      <c r="B609" s="1">
        <v>52</v>
      </c>
      <c r="C609" s="1" t="s">
        <v>10</v>
      </c>
      <c r="D609" s="1">
        <v>30</v>
      </c>
      <c r="E609" s="1">
        <v>42212.44</v>
      </c>
      <c r="F609" s="1">
        <v>2</v>
      </c>
      <c r="G609" s="1">
        <v>1</v>
      </c>
      <c r="H609" s="1">
        <v>0</v>
      </c>
      <c r="I609" s="1">
        <v>33307.72</v>
      </c>
      <c r="J609" s="1">
        <v>0</v>
      </c>
      <c r="K609">
        <f t="shared" si="9"/>
        <v>1</v>
      </c>
    </row>
    <row r="610" spans="1:11" x14ac:dyDescent="0.35">
      <c r="A610" s="1">
        <v>609</v>
      </c>
      <c r="B610" s="1">
        <v>66</v>
      </c>
      <c r="C610" s="1" t="s">
        <v>11</v>
      </c>
      <c r="D610" s="1">
        <v>30</v>
      </c>
      <c r="E610" s="1">
        <v>33792.39</v>
      </c>
      <c r="F610" s="1">
        <v>4</v>
      </c>
      <c r="G610" s="1">
        <v>0</v>
      </c>
      <c r="H610" s="1">
        <v>1</v>
      </c>
      <c r="I610" s="1">
        <v>117730.2</v>
      </c>
      <c r="J610" s="1">
        <v>0</v>
      </c>
      <c r="K610">
        <f t="shared" si="9"/>
        <v>1</v>
      </c>
    </row>
    <row r="611" spans="1:11" x14ac:dyDescent="0.35">
      <c r="A611" s="1">
        <v>610</v>
      </c>
      <c r="B611" s="1">
        <v>52</v>
      </c>
      <c r="C611" s="1" t="s">
        <v>11</v>
      </c>
      <c r="D611" s="1">
        <v>6</v>
      </c>
      <c r="E611" s="1">
        <v>6955.79</v>
      </c>
      <c r="F611" s="1">
        <v>1</v>
      </c>
      <c r="G611" s="1">
        <v>1</v>
      </c>
      <c r="H611" s="1">
        <v>0</v>
      </c>
      <c r="I611" s="1">
        <v>137810.35999999999</v>
      </c>
      <c r="J611" s="1">
        <v>1</v>
      </c>
      <c r="K611">
        <f t="shared" si="9"/>
        <v>1</v>
      </c>
    </row>
    <row r="612" spans="1:11" x14ac:dyDescent="0.35">
      <c r="A612" s="1">
        <v>611</v>
      </c>
      <c r="B612" s="1">
        <v>65</v>
      </c>
      <c r="C612" s="1" t="s">
        <v>10</v>
      </c>
      <c r="D612" s="1">
        <v>67</v>
      </c>
      <c r="E612" s="1">
        <v>12711.57</v>
      </c>
      <c r="F612" s="1">
        <v>3</v>
      </c>
      <c r="G612" s="1">
        <v>0</v>
      </c>
      <c r="H612" s="1">
        <v>1</v>
      </c>
      <c r="I612" s="1">
        <v>116646.57</v>
      </c>
      <c r="J612" s="1">
        <v>0</v>
      </c>
      <c r="K612">
        <f t="shared" si="9"/>
        <v>1</v>
      </c>
    </row>
    <row r="613" spans="1:11" x14ac:dyDescent="0.35">
      <c r="A613" s="1">
        <v>612</v>
      </c>
      <c r="B613" s="1">
        <v>53</v>
      </c>
      <c r="C613" s="1" t="s">
        <v>10</v>
      </c>
      <c r="D613" s="1">
        <v>7</v>
      </c>
      <c r="E613" s="1">
        <v>43775.56</v>
      </c>
      <c r="F613" s="1">
        <v>1</v>
      </c>
      <c r="G613" s="1">
        <v>1</v>
      </c>
      <c r="H613" s="1">
        <v>0</v>
      </c>
      <c r="I613" s="1">
        <v>89267.51</v>
      </c>
      <c r="J613" s="1">
        <v>0</v>
      </c>
      <c r="K613">
        <f t="shared" si="9"/>
        <v>1</v>
      </c>
    </row>
    <row r="614" spans="1:11" x14ac:dyDescent="0.35">
      <c r="A614" s="1">
        <v>613</v>
      </c>
      <c r="B614" s="1">
        <v>35</v>
      </c>
      <c r="C614" s="1" t="s">
        <v>10</v>
      </c>
      <c r="D614" s="1">
        <v>52</v>
      </c>
      <c r="E614" s="1">
        <v>9140.36</v>
      </c>
      <c r="F614" s="1">
        <v>3</v>
      </c>
      <c r="G614" s="1">
        <v>1</v>
      </c>
      <c r="H614" s="1">
        <v>0</v>
      </c>
      <c r="I614" s="1">
        <v>131886.82</v>
      </c>
      <c r="J614" s="1">
        <v>0</v>
      </c>
      <c r="K614">
        <f t="shared" si="9"/>
        <v>1</v>
      </c>
    </row>
    <row r="615" spans="1:11" x14ac:dyDescent="0.35">
      <c r="A615" s="1">
        <v>614</v>
      </c>
      <c r="B615" s="1">
        <v>66</v>
      </c>
      <c r="C615" s="1" t="s">
        <v>11</v>
      </c>
      <c r="D615" s="1">
        <v>14</v>
      </c>
      <c r="E615" s="1">
        <v>13921.97</v>
      </c>
      <c r="F615" s="1">
        <v>4</v>
      </c>
      <c r="G615" s="1">
        <v>0</v>
      </c>
      <c r="H615" s="1">
        <v>0</v>
      </c>
      <c r="I615" s="1">
        <v>110339.39</v>
      </c>
      <c r="J615" s="1">
        <v>0</v>
      </c>
      <c r="K615">
        <f t="shared" si="9"/>
        <v>1</v>
      </c>
    </row>
    <row r="616" spans="1:11" x14ac:dyDescent="0.35">
      <c r="A616" s="1">
        <v>615</v>
      </c>
      <c r="B616" s="1">
        <v>56</v>
      </c>
      <c r="C616" s="1" t="s">
        <v>11</v>
      </c>
      <c r="D616" s="1">
        <v>15</v>
      </c>
      <c r="E616" s="1">
        <v>6480.03</v>
      </c>
      <c r="F616" s="1">
        <v>4</v>
      </c>
      <c r="G616" s="1">
        <v>1</v>
      </c>
      <c r="H616" s="1">
        <v>0</v>
      </c>
      <c r="I616" s="1">
        <v>21371.65</v>
      </c>
      <c r="J616" s="1">
        <v>0</v>
      </c>
      <c r="K616">
        <f t="shared" si="9"/>
        <v>1</v>
      </c>
    </row>
    <row r="617" spans="1:11" x14ac:dyDescent="0.35">
      <c r="A617" s="1">
        <v>616</v>
      </c>
      <c r="B617" s="1">
        <v>49</v>
      </c>
      <c r="C617" s="1" t="s">
        <v>11</v>
      </c>
      <c r="D617" s="1">
        <v>21</v>
      </c>
      <c r="E617" s="1">
        <v>33805.410000000003</v>
      </c>
      <c r="F617" s="1">
        <v>1</v>
      </c>
      <c r="G617" s="1">
        <v>0</v>
      </c>
      <c r="H617" s="1">
        <v>1</v>
      </c>
      <c r="I617" s="1">
        <v>71231.72</v>
      </c>
      <c r="J617" s="1">
        <v>0</v>
      </c>
      <c r="K617">
        <f t="shared" si="9"/>
        <v>1</v>
      </c>
    </row>
    <row r="618" spans="1:11" x14ac:dyDescent="0.35">
      <c r="A618" s="1">
        <v>617</v>
      </c>
      <c r="B618" s="1">
        <v>41</v>
      </c>
      <c r="C618" s="1" t="s">
        <v>10</v>
      </c>
      <c r="D618" s="1">
        <v>35</v>
      </c>
      <c r="E618" s="1">
        <v>47199.12</v>
      </c>
      <c r="F618" s="1">
        <v>3</v>
      </c>
      <c r="G618" s="1">
        <v>0</v>
      </c>
      <c r="H618" s="1">
        <v>0</v>
      </c>
      <c r="I618" s="1">
        <v>130623.75</v>
      </c>
      <c r="J618" s="1">
        <v>0</v>
      </c>
      <c r="K618">
        <f t="shared" si="9"/>
        <v>1</v>
      </c>
    </row>
    <row r="619" spans="1:11" x14ac:dyDescent="0.35">
      <c r="A619" s="1">
        <v>618</v>
      </c>
      <c r="B619" s="1">
        <v>40</v>
      </c>
      <c r="C619" s="1" t="s">
        <v>10</v>
      </c>
      <c r="D619" s="1">
        <v>66</v>
      </c>
      <c r="E619" s="1">
        <v>13448.4</v>
      </c>
      <c r="F619" s="1">
        <v>3</v>
      </c>
      <c r="G619" s="1">
        <v>1</v>
      </c>
      <c r="H619" s="1">
        <v>0</v>
      </c>
      <c r="I619" s="1">
        <v>64961.65</v>
      </c>
      <c r="J619" s="1">
        <v>0</v>
      </c>
      <c r="K619">
        <f t="shared" si="9"/>
        <v>1</v>
      </c>
    </row>
    <row r="620" spans="1:11" x14ac:dyDescent="0.35">
      <c r="A620" s="1">
        <v>619</v>
      </c>
      <c r="B620" s="1">
        <v>49</v>
      </c>
      <c r="C620" s="1" t="s">
        <v>11</v>
      </c>
      <c r="D620" s="1">
        <v>2</v>
      </c>
      <c r="E620" s="1">
        <v>23770.33</v>
      </c>
      <c r="F620" s="1">
        <v>4</v>
      </c>
      <c r="G620" s="1">
        <v>0</v>
      </c>
      <c r="H620" s="1">
        <v>1</v>
      </c>
      <c r="I620" s="1">
        <v>24577.97</v>
      </c>
      <c r="J620" s="1">
        <v>0</v>
      </c>
      <c r="K620">
        <f t="shared" si="9"/>
        <v>1</v>
      </c>
    </row>
    <row r="621" spans="1:11" x14ac:dyDescent="0.35">
      <c r="A621" s="1">
        <v>620</v>
      </c>
      <c r="B621" s="1">
        <v>54</v>
      </c>
      <c r="C621" s="1" t="s">
        <v>11</v>
      </c>
      <c r="D621" s="1">
        <v>35</v>
      </c>
      <c r="E621" s="1">
        <v>31716.99</v>
      </c>
      <c r="F621" s="1">
        <v>1</v>
      </c>
      <c r="G621" s="1">
        <v>0</v>
      </c>
      <c r="H621" s="1">
        <v>1</v>
      </c>
      <c r="I621" s="1">
        <v>117003.35</v>
      </c>
      <c r="J621" s="1">
        <v>0</v>
      </c>
      <c r="K621">
        <f t="shared" si="9"/>
        <v>1</v>
      </c>
    </row>
    <row r="622" spans="1:11" x14ac:dyDescent="0.35">
      <c r="A622" s="1">
        <v>621</v>
      </c>
      <c r="B622" s="1">
        <v>29</v>
      </c>
      <c r="C622" s="1" t="s">
        <v>10</v>
      </c>
      <c r="D622" s="1">
        <v>20</v>
      </c>
      <c r="E622" s="1">
        <v>49973.31</v>
      </c>
      <c r="F622" s="1">
        <v>3</v>
      </c>
      <c r="G622" s="1">
        <v>0</v>
      </c>
      <c r="H622" s="1">
        <v>0</v>
      </c>
      <c r="I622" s="1">
        <v>124264.98</v>
      </c>
      <c r="J622" s="1">
        <v>0</v>
      </c>
      <c r="K622">
        <f t="shared" si="9"/>
        <v>1</v>
      </c>
    </row>
    <row r="623" spans="1:11" x14ac:dyDescent="0.35">
      <c r="A623" s="1">
        <v>622</v>
      </c>
      <c r="B623" s="1">
        <v>66</v>
      </c>
      <c r="C623" s="1" t="s">
        <v>10</v>
      </c>
      <c r="D623" s="1">
        <v>10</v>
      </c>
      <c r="E623" s="1">
        <v>5240.3999999999996</v>
      </c>
      <c r="F623" s="1">
        <v>4</v>
      </c>
      <c r="G623" s="1">
        <v>0</v>
      </c>
      <c r="H623" s="1">
        <v>0</v>
      </c>
      <c r="I623" s="1">
        <v>40877.18</v>
      </c>
      <c r="J623" s="1">
        <v>1</v>
      </c>
      <c r="K623">
        <f t="shared" si="9"/>
        <v>1</v>
      </c>
    </row>
    <row r="624" spans="1:11" x14ac:dyDescent="0.35">
      <c r="A624" s="1">
        <v>623</v>
      </c>
      <c r="B624" s="1">
        <v>30</v>
      </c>
      <c r="C624" s="1" t="s">
        <v>10</v>
      </c>
      <c r="D624" s="1">
        <v>25</v>
      </c>
      <c r="E624" s="1">
        <v>24928.54</v>
      </c>
      <c r="F624" s="1">
        <v>2</v>
      </c>
      <c r="G624" s="1">
        <v>0</v>
      </c>
      <c r="H624" s="1">
        <v>1</v>
      </c>
      <c r="I624" s="1">
        <v>89854.26</v>
      </c>
      <c r="J624" s="1">
        <v>0</v>
      </c>
      <c r="K624">
        <f t="shared" si="9"/>
        <v>1</v>
      </c>
    </row>
    <row r="625" spans="1:11" x14ac:dyDescent="0.35">
      <c r="A625" s="1">
        <v>624</v>
      </c>
      <c r="B625" s="1">
        <v>40</v>
      </c>
      <c r="C625" s="1" t="s">
        <v>10</v>
      </c>
      <c r="D625" s="1">
        <v>66</v>
      </c>
      <c r="E625" s="1">
        <v>19256.009999999998</v>
      </c>
      <c r="F625" s="1">
        <v>1</v>
      </c>
      <c r="G625" s="1">
        <v>0</v>
      </c>
      <c r="H625" s="1">
        <v>1</v>
      </c>
      <c r="I625" s="1">
        <v>44954.21</v>
      </c>
      <c r="J625" s="1">
        <v>0</v>
      </c>
      <c r="K625">
        <f t="shared" si="9"/>
        <v>1</v>
      </c>
    </row>
    <row r="626" spans="1:11" x14ac:dyDescent="0.35">
      <c r="A626" s="1">
        <v>625</v>
      </c>
      <c r="B626" s="1">
        <v>42</v>
      </c>
      <c r="C626" s="1" t="s">
        <v>11</v>
      </c>
      <c r="D626" s="1">
        <v>25</v>
      </c>
      <c r="E626" s="1">
        <v>43291.01</v>
      </c>
      <c r="F626" s="1">
        <v>2</v>
      </c>
      <c r="G626" s="1">
        <v>1</v>
      </c>
      <c r="H626" s="1">
        <v>1</v>
      </c>
      <c r="I626" s="1">
        <v>113500.47</v>
      </c>
      <c r="J626" s="1">
        <v>0</v>
      </c>
      <c r="K626">
        <f t="shared" si="9"/>
        <v>1</v>
      </c>
    </row>
    <row r="627" spans="1:11" x14ac:dyDescent="0.35">
      <c r="A627" s="1">
        <v>626</v>
      </c>
      <c r="B627" s="1">
        <v>52</v>
      </c>
      <c r="C627" s="1" t="s">
        <v>10</v>
      </c>
      <c r="D627" s="1">
        <v>54</v>
      </c>
      <c r="E627" s="1">
        <v>23798.39</v>
      </c>
      <c r="F627" s="1">
        <v>1</v>
      </c>
      <c r="G627" s="1">
        <v>0</v>
      </c>
      <c r="H627" s="1">
        <v>0</v>
      </c>
      <c r="I627" s="1">
        <v>55301.56</v>
      </c>
      <c r="J627" s="1">
        <v>0</v>
      </c>
      <c r="K627">
        <f t="shared" si="9"/>
        <v>1</v>
      </c>
    </row>
    <row r="628" spans="1:11" x14ac:dyDescent="0.35">
      <c r="A628" s="1">
        <v>627</v>
      </c>
      <c r="B628" s="1">
        <v>58</v>
      </c>
      <c r="C628" s="1" t="s">
        <v>11</v>
      </c>
      <c r="D628" s="1">
        <v>33</v>
      </c>
      <c r="E628" s="1">
        <v>5548.88</v>
      </c>
      <c r="F628" s="1">
        <v>4</v>
      </c>
      <c r="G628" s="1">
        <v>1</v>
      </c>
      <c r="H628" s="1">
        <v>0</v>
      </c>
      <c r="I628" s="1">
        <v>61107.97</v>
      </c>
      <c r="J628" s="1">
        <v>0</v>
      </c>
      <c r="K628">
        <f t="shared" si="9"/>
        <v>1</v>
      </c>
    </row>
    <row r="629" spans="1:11" x14ac:dyDescent="0.35">
      <c r="A629" s="1">
        <v>628</v>
      </c>
      <c r="B629" s="1">
        <v>47</v>
      </c>
      <c r="C629" s="1" t="s">
        <v>11</v>
      </c>
      <c r="D629" s="1">
        <v>36</v>
      </c>
      <c r="E629" s="1">
        <v>31721.21</v>
      </c>
      <c r="F629" s="1">
        <v>3</v>
      </c>
      <c r="G629" s="1">
        <v>1</v>
      </c>
      <c r="H629" s="1">
        <v>0</v>
      </c>
      <c r="I629" s="1">
        <v>129846.21</v>
      </c>
      <c r="J629" s="1">
        <v>0</v>
      </c>
      <c r="K629">
        <f t="shared" si="9"/>
        <v>1</v>
      </c>
    </row>
    <row r="630" spans="1:11" x14ac:dyDescent="0.35">
      <c r="A630" s="1">
        <v>629</v>
      </c>
      <c r="B630" s="1">
        <v>34</v>
      </c>
      <c r="C630" s="1" t="s">
        <v>11</v>
      </c>
      <c r="D630" s="1">
        <v>14</v>
      </c>
      <c r="E630" s="1">
        <v>38539.03</v>
      </c>
      <c r="F630" s="1">
        <v>3</v>
      </c>
      <c r="G630" s="1">
        <v>0</v>
      </c>
      <c r="H630" s="1">
        <v>1</v>
      </c>
      <c r="I630" s="1">
        <v>81921.91</v>
      </c>
      <c r="J630" s="1">
        <v>0</v>
      </c>
      <c r="K630">
        <f t="shared" si="9"/>
        <v>1</v>
      </c>
    </row>
    <row r="631" spans="1:11" x14ac:dyDescent="0.35">
      <c r="A631" s="1">
        <v>630</v>
      </c>
      <c r="B631" s="1">
        <v>66</v>
      </c>
      <c r="C631" s="1" t="s">
        <v>10</v>
      </c>
      <c r="D631" s="1">
        <v>65</v>
      </c>
      <c r="E631" s="1">
        <v>144.06</v>
      </c>
      <c r="F631" s="1">
        <v>3</v>
      </c>
      <c r="G631" s="1">
        <v>1</v>
      </c>
      <c r="H631" s="1">
        <v>1</v>
      </c>
      <c r="I631" s="1">
        <v>107068.08</v>
      </c>
      <c r="J631" s="1">
        <v>0</v>
      </c>
      <c r="K631">
        <f t="shared" si="9"/>
        <v>1</v>
      </c>
    </row>
    <row r="632" spans="1:11" x14ac:dyDescent="0.35">
      <c r="A632" s="1">
        <v>631</v>
      </c>
      <c r="B632" s="1">
        <v>37</v>
      </c>
      <c r="C632" s="1" t="s">
        <v>10</v>
      </c>
      <c r="D632" s="1">
        <v>54</v>
      </c>
      <c r="E632" s="1">
        <v>42947.83</v>
      </c>
      <c r="F632" s="1">
        <v>1</v>
      </c>
      <c r="G632" s="1">
        <v>1</v>
      </c>
      <c r="H632" s="1">
        <v>1</v>
      </c>
      <c r="I632" s="1">
        <v>72308.5</v>
      </c>
      <c r="J632" s="1">
        <v>0</v>
      </c>
      <c r="K632">
        <f t="shared" si="9"/>
        <v>1</v>
      </c>
    </row>
    <row r="633" spans="1:11" x14ac:dyDescent="0.35">
      <c r="A633" s="1">
        <v>632</v>
      </c>
      <c r="B633" s="1">
        <v>65</v>
      </c>
      <c r="C633" s="1" t="s">
        <v>10</v>
      </c>
      <c r="D633" s="1">
        <v>52</v>
      </c>
      <c r="E633" s="1">
        <v>9301.15</v>
      </c>
      <c r="F633" s="1">
        <v>4</v>
      </c>
      <c r="G633" s="1">
        <v>0</v>
      </c>
      <c r="H633" s="1">
        <v>0</v>
      </c>
      <c r="I633" s="1">
        <v>58740.89</v>
      </c>
      <c r="J633" s="1">
        <v>0</v>
      </c>
      <c r="K633">
        <f t="shared" si="9"/>
        <v>1</v>
      </c>
    </row>
    <row r="634" spans="1:11" x14ac:dyDescent="0.35">
      <c r="A634" s="1">
        <v>633</v>
      </c>
      <c r="B634" s="1">
        <v>42</v>
      </c>
      <c r="C634" s="1" t="s">
        <v>10</v>
      </c>
      <c r="D634" s="1">
        <v>3</v>
      </c>
      <c r="E634" s="1">
        <v>27603.47</v>
      </c>
      <c r="F634" s="1">
        <v>2</v>
      </c>
      <c r="G634" s="1">
        <v>0</v>
      </c>
      <c r="H634" s="1">
        <v>1</v>
      </c>
      <c r="I634" s="1">
        <v>101312.15</v>
      </c>
      <c r="J634" s="1">
        <v>0</v>
      </c>
      <c r="K634">
        <f t="shared" si="9"/>
        <v>1</v>
      </c>
    </row>
    <row r="635" spans="1:11" x14ac:dyDescent="0.35">
      <c r="A635" s="1">
        <v>634</v>
      </c>
      <c r="B635" s="1">
        <v>39</v>
      </c>
      <c r="C635" s="1" t="s">
        <v>11</v>
      </c>
      <c r="D635" s="1">
        <v>41</v>
      </c>
      <c r="E635" s="1">
        <v>20789.88</v>
      </c>
      <c r="F635" s="1">
        <v>4</v>
      </c>
      <c r="G635" s="1">
        <v>0</v>
      </c>
      <c r="H635" s="1">
        <v>0</v>
      </c>
      <c r="I635" s="1">
        <v>40131.480000000003</v>
      </c>
      <c r="J635" s="1">
        <v>0</v>
      </c>
      <c r="K635">
        <f t="shared" si="9"/>
        <v>1</v>
      </c>
    </row>
    <row r="636" spans="1:11" x14ac:dyDescent="0.35">
      <c r="A636" s="1">
        <v>635</v>
      </c>
      <c r="B636" s="1">
        <v>30</v>
      </c>
      <c r="C636" s="1" t="s">
        <v>10</v>
      </c>
      <c r="D636" s="1">
        <v>6</v>
      </c>
      <c r="E636" s="1">
        <v>35982.69</v>
      </c>
      <c r="F636" s="1">
        <v>2</v>
      </c>
      <c r="G636" s="1">
        <v>1</v>
      </c>
      <c r="H636" s="1">
        <v>1</v>
      </c>
      <c r="I636" s="1">
        <v>68489.98</v>
      </c>
      <c r="J636" s="1">
        <v>0</v>
      </c>
      <c r="K636">
        <f t="shared" si="9"/>
        <v>1</v>
      </c>
    </row>
    <row r="637" spans="1:11" x14ac:dyDescent="0.35">
      <c r="A637" s="1">
        <v>636</v>
      </c>
      <c r="B637" s="1">
        <v>36</v>
      </c>
      <c r="C637" s="1" t="s">
        <v>10</v>
      </c>
      <c r="D637" s="1">
        <v>25</v>
      </c>
      <c r="E637" s="1">
        <v>18558.080000000002</v>
      </c>
      <c r="F637" s="1">
        <v>1</v>
      </c>
      <c r="G637" s="1">
        <v>1</v>
      </c>
      <c r="H637" s="1">
        <v>0</v>
      </c>
      <c r="I637" s="1">
        <v>47174.81</v>
      </c>
      <c r="J637" s="1">
        <v>0</v>
      </c>
      <c r="K637">
        <f t="shared" si="9"/>
        <v>1</v>
      </c>
    </row>
    <row r="638" spans="1:11" x14ac:dyDescent="0.35">
      <c r="A638" s="1">
        <v>637</v>
      </c>
      <c r="B638" s="1">
        <v>66</v>
      </c>
      <c r="C638" s="1" t="s">
        <v>11</v>
      </c>
      <c r="D638" s="1">
        <v>13</v>
      </c>
      <c r="E638" s="1">
        <v>43488.160000000003</v>
      </c>
      <c r="F638" s="1">
        <v>1</v>
      </c>
      <c r="G638" s="1">
        <v>0</v>
      </c>
      <c r="H638" s="1">
        <v>0</v>
      </c>
      <c r="I638" s="1">
        <v>110453.35</v>
      </c>
      <c r="J638" s="1">
        <v>0</v>
      </c>
      <c r="K638">
        <f t="shared" si="9"/>
        <v>1</v>
      </c>
    </row>
    <row r="639" spans="1:11" x14ac:dyDescent="0.35">
      <c r="A639" s="1">
        <v>638</v>
      </c>
      <c r="B639" s="1">
        <v>53</v>
      </c>
      <c r="C639" s="1" t="s">
        <v>10</v>
      </c>
      <c r="D639" s="1">
        <v>8</v>
      </c>
      <c r="E639" s="1">
        <v>36524.82</v>
      </c>
      <c r="F639" s="1">
        <v>2</v>
      </c>
      <c r="G639" s="1">
        <v>0</v>
      </c>
      <c r="H639" s="1">
        <v>1</v>
      </c>
      <c r="I639" s="1">
        <v>142747.15</v>
      </c>
      <c r="J639" s="1">
        <v>0</v>
      </c>
      <c r="K639">
        <f t="shared" si="9"/>
        <v>1</v>
      </c>
    </row>
    <row r="640" spans="1:11" x14ac:dyDescent="0.35">
      <c r="A640" s="1">
        <v>639</v>
      </c>
      <c r="B640" s="1">
        <v>29</v>
      </c>
      <c r="C640" s="1" t="s">
        <v>11</v>
      </c>
      <c r="D640" s="1">
        <v>21</v>
      </c>
      <c r="E640" s="1">
        <v>32385.66</v>
      </c>
      <c r="F640" s="1">
        <v>2</v>
      </c>
      <c r="G640" s="1">
        <v>1</v>
      </c>
      <c r="H640" s="1">
        <v>0</v>
      </c>
      <c r="I640" s="1">
        <v>149416.43</v>
      </c>
      <c r="J640" s="1">
        <v>0</v>
      </c>
      <c r="K640">
        <f t="shared" si="9"/>
        <v>1</v>
      </c>
    </row>
    <row r="641" spans="1:11" x14ac:dyDescent="0.35">
      <c r="A641" s="1">
        <v>640</v>
      </c>
      <c r="B641" s="1">
        <v>58</v>
      </c>
      <c r="C641" s="1" t="s">
        <v>11</v>
      </c>
      <c r="D641" s="1">
        <v>68</v>
      </c>
      <c r="E641" s="1">
        <v>39812.03</v>
      </c>
      <c r="F641" s="1">
        <v>2</v>
      </c>
      <c r="G641" s="1">
        <v>1</v>
      </c>
      <c r="H641" s="1">
        <v>1</v>
      </c>
      <c r="I641" s="1">
        <v>78535.990000000005</v>
      </c>
      <c r="J641" s="1">
        <v>0</v>
      </c>
      <c r="K641">
        <f t="shared" si="9"/>
        <v>1</v>
      </c>
    </row>
    <row r="642" spans="1:11" x14ac:dyDescent="0.35">
      <c r="A642" s="1">
        <v>641</v>
      </c>
      <c r="B642" s="1">
        <v>36</v>
      </c>
      <c r="C642" s="1" t="s">
        <v>11</v>
      </c>
      <c r="D642" s="1">
        <v>25</v>
      </c>
      <c r="E642" s="1">
        <v>37701.15</v>
      </c>
      <c r="F642" s="1">
        <v>4</v>
      </c>
      <c r="G642" s="1">
        <v>1</v>
      </c>
      <c r="H642" s="1">
        <v>0</v>
      </c>
      <c r="I642" s="1">
        <v>52828.95</v>
      </c>
      <c r="J642" s="1">
        <v>0</v>
      </c>
      <c r="K642">
        <f t="shared" si="9"/>
        <v>1</v>
      </c>
    </row>
    <row r="643" spans="1:11" x14ac:dyDescent="0.35">
      <c r="A643" s="1">
        <v>642</v>
      </c>
      <c r="B643" s="1">
        <v>29</v>
      </c>
      <c r="C643" s="1" t="s">
        <v>11</v>
      </c>
      <c r="D643" s="1">
        <v>68</v>
      </c>
      <c r="E643" s="1">
        <v>1796.93</v>
      </c>
      <c r="F643" s="1">
        <v>2</v>
      </c>
      <c r="G643" s="1">
        <v>1</v>
      </c>
      <c r="H643" s="1">
        <v>1</v>
      </c>
      <c r="I643" s="1">
        <v>77567.820000000007</v>
      </c>
      <c r="J643" s="1">
        <v>0</v>
      </c>
      <c r="K643">
        <f t="shared" ref="K643:K706" si="10">COUNTIF($A$2:$A$1001,A643)</f>
        <v>1</v>
      </c>
    </row>
    <row r="644" spans="1:11" x14ac:dyDescent="0.35">
      <c r="A644" s="1">
        <v>643</v>
      </c>
      <c r="B644" s="1">
        <v>26</v>
      </c>
      <c r="C644" s="1" t="s">
        <v>11</v>
      </c>
      <c r="D644" s="1">
        <v>45</v>
      </c>
      <c r="E644" s="1">
        <v>19736.72</v>
      </c>
      <c r="F644" s="1">
        <v>1</v>
      </c>
      <c r="G644" s="1">
        <v>0</v>
      </c>
      <c r="H644" s="1">
        <v>1</v>
      </c>
      <c r="I644" s="1">
        <v>130145.02</v>
      </c>
      <c r="J644" s="1">
        <v>0</v>
      </c>
      <c r="K644">
        <f t="shared" si="10"/>
        <v>1</v>
      </c>
    </row>
    <row r="645" spans="1:11" x14ac:dyDescent="0.35">
      <c r="A645" s="1">
        <v>644</v>
      </c>
      <c r="B645" s="1">
        <v>24</v>
      </c>
      <c r="C645" s="1" t="s">
        <v>11</v>
      </c>
      <c r="D645" s="1">
        <v>60</v>
      </c>
      <c r="E645" s="1">
        <v>46540.36</v>
      </c>
      <c r="F645" s="1">
        <v>1</v>
      </c>
      <c r="G645" s="1">
        <v>1</v>
      </c>
      <c r="H645" s="1">
        <v>0</v>
      </c>
      <c r="I645" s="1">
        <v>46780.74</v>
      </c>
      <c r="J645" s="1">
        <v>0</v>
      </c>
      <c r="K645">
        <f t="shared" si="10"/>
        <v>1</v>
      </c>
    </row>
    <row r="646" spans="1:11" x14ac:dyDescent="0.35">
      <c r="A646" s="1">
        <v>645</v>
      </c>
      <c r="B646" s="1">
        <v>45</v>
      </c>
      <c r="C646" s="1" t="s">
        <v>11</v>
      </c>
      <c r="D646" s="1">
        <v>12</v>
      </c>
      <c r="E646" s="1">
        <v>6286.21</v>
      </c>
      <c r="F646" s="1">
        <v>3</v>
      </c>
      <c r="G646" s="1">
        <v>1</v>
      </c>
      <c r="H646" s="1">
        <v>1</v>
      </c>
      <c r="I646" s="1">
        <v>143772.43</v>
      </c>
      <c r="J646" s="1">
        <v>0</v>
      </c>
      <c r="K646">
        <f t="shared" si="10"/>
        <v>1</v>
      </c>
    </row>
    <row r="647" spans="1:11" x14ac:dyDescent="0.35">
      <c r="A647" s="1">
        <v>646</v>
      </c>
      <c r="B647" s="1">
        <v>31</v>
      </c>
      <c r="C647" s="1" t="s">
        <v>11</v>
      </c>
      <c r="D647" s="1">
        <v>32</v>
      </c>
      <c r="E647" s="1">
        <v>36854.83</v>
      </c>
      <c r="F647" s="1">
        <v>2</v>
      </c>
      <c r="G647" s="1">
        <v>1</v>
      </c>
      <c r="H647" s="1">
        <v>0</v>
      </c>
      <c r="I647" s="1">
        <v>64442.55</v>
      </c>
      <c r="J647" s="1">
        <v>0</v>
      </c>
      <c r="K647">
        <f t="shared" si="10"/>
        <v>1</v>
      </c>
    </row>
    <row r="648" spans="1:11" x14ac:dyDescent="0.35">
      <c r="A648" s="1">
        <v>647</v>
      </c>
      <c r="B648" s="1">
        <v>48</v>
      </c>
      <c r="C648" s="1" t="s">
        <v>10</v>
      </c>
      <c r="D648" s="1">
        <v>13</v>
      </c>
      <c r="E648" s="1">
        <v>48729.59</v>
      </c>
      <c r="F648" s="1">
        <v>4</v>
      </c>
      <c r="G648" s="1">
        <v>1</v>
      </c>
      <c r="H648" s="1">
        <v>1</v>
      </c>
      <c r="I648" s="1">
        <v>148154.48000000001</v>
      </c>
      <c r="J648" s="1">
        <v>0</v>
      </c>
      <c r="K648">
        <f t="shared" si="10"/>
        <v>1</v>
      </c>
    </row>
    <row r="649" spans="1:11" x14ac:dyDescent="0.35">
      <c r="A649" s="1">
        <v>648</v>
      </c>
      <c r="B649" s="1">
        <v>69</v>
      </c>
      <c r="C649" s="1" t="s">
        <v>10</v>
      </c>
      <c r="D649" s="1">
        <v>31</v>
      </c>
      <c r="E649" s="1">
        <v>2609.9299999999998</v>
      </c>
      <c r="F649" s="1">
        <v>4</v>
      </c>
      <c r="G649" s="1">
        <v>0</v>
      </c>
      <c r="H649" s="1">
        <v>1</v>
      </c>
      <c r="I649" s="1">
        <v>129019.16</v>
      </c>
      <c r="J649" s="1">
        <v>0</v>
      </c>
      <c r="K649">
        <f t="shared" si="10"/>
        <v>1</v>
      </c>
    </row>
    <row r="650" spans="1:11" x14ac:dyDescent="0.35">
      <c r="A650" s="1">
        <v>649</v>
      </c>
      <c r="B650" s="1">
        <v>36</v>
      </c>
      <c r="C650" s="1" t="s">
        <v>10</v>
      </c>
      <c r="D650" s="1">
        <v>20</v>
      </c>
      <c r="E650" s="1">
        <v>34109.69</v>
      </c>
      <c r="F650" s="1">
        <v>4</v>
      </c>
      <c r="G650" s="1">
        <v>0</v>
      </c>
      <c r="H650" s="1">
        <v>1</v>
      </c>
      <c r="I650" s="1">
        <v>125114.17</v>
      </c>
      <c r="J650" s="1">
        <v>0</v>
      </c>
      <c r="K650">
        <f t="shared" si="10"/>
        <v>1</v>
      </c>
    </row>
    <row r="651" spans="1:11" x14ac:dyDescent="0.35">
      <c r="A651" s="1">
        <v>650</v>
      </c>
      <c r="B651" s="1">
        <v>64</v>
      </c>
      <c r="C651" s="1" t="s">
        <v>10</v>
      </c>
      <c r="D651" s="1">
        <v>18</v>
      </c>
      <c r="E651" s="1">
        <v>23407.71</v>
      </c>
      <c r="F651" s="1">
        <v>3</v>
      </c>
      <c r="G651" s="1">
        <v>1</v>
      </c>
      <c r="H651" s="1">
        <v>1</v>
      </c>
      <c r="I651" s="1">
        <v>61327.61</v>
      </c>
      <c r="J651" s="1">
        <v>0</v>
      </c>
      <c r="K651">
        <f t="shared" si="10"/>
        <v>1</v>
      </c>
    </row>
    <row r="652" spans="1:11" x14ac:dyDescent="0.35">
      <c r="A652" s="1">
        <v>651</v>
      </c>
      <c r="B652" s="1">
        <v>33</v>
      </c>
      <c r="C652" s="1" t="s">
        <v>11</v>
      </c>
      <c r="D652" s="1">
        <v>60</v>
      </c>
      <c r="E652" s="1">
        <v>28958.76</v>
      </c>
      <c r="F652" s="1">
        <v>1</v>
      </c>
      <c r="G652" s="1">
        <v>1</v>
      </c>
      <c r="H652" s="1">
        <v>0</v>
      </c>
      <c r="I652" s="1">
        <v>21141.040000000001</v>
      </c>
      <c r="J652" s="1">
        <v>0</v>
      </c>
      <c r="K652">
        <f t="shared" si="10"/>
        <v>1</v>
      </c>
    </row>
    <row r="653" spans="1:11" x14ac:dyDescent="0.35">
      <c r="A653" s="1">
        <v>652</v>
      </c>
      <c r="B653" s="1">
        <v>22</v>
      </c>
      <c r="C653" s="1" t="s">
        <v>10</v>
      </c>
      <c r="D653" s="1">
        <v>63</v>
      </c>
      <c r="E653" s="1">
        <v>4267.07</v>
      </c>
      <c r="F653" s="1">
        <v>4</v>
      </c>
      <c r="G653" s="1">
        <v>0</v>
      </c>
      <c r="H653" s="1">
        <v>1</v>
      </c>
      <c r="I653" s="1">
        <v>69677.279999999999</v>
      </c>
      <c r="J653" s="1">
        <v>0</v>
      </c>
      <c r="K653">
        <f t="shared" si="10"/>
        <v>1</v>
      </c>
    </row>
    <row r="654" spans="1:11" x14ac:dyDescent="0.35">
      <c r="A654" s="1">
        <v>653</v>
      </c>
      <c r="B654" s="1">
        <v>52</v>
      </c>
      <c r="C654" s="1" t="s">
        <v>11</v>
      </c>
      <c r="D654" s="1">
        <v>6</v>
      </c>
      <c r="E654" s="1">
        <v>2150.35</v>
      </c>
      <c r="F654" s="1">
        <v>1</v>
      </c>
      <c r="G654" s="1">
        <v>0</v>
      </c>
      <c r="H654" s="1">
        <v>1</v>
      </c>
      <c r="I654" s="1">
        <v>59235.22</v>
      </c>
      <c r="J654" s="1">
        <v>0</v>
      </c>
      <c r="K654">
        <f t="shared" si="10"/>
        <v>1</v>
      </c>
    </row>
    <row r="655" spans="1:11" x14ac:dyDescent="0.35">
      <c r="A655" s="1">
        <v>654</v>
      </c>
      <c r="B655" s="1">
        <v>29</v>
      </c>
      <c r="C655" s="1" t="s">
        <v>10</v>
      </c>
      <c r="D655" s="1">
        <v>32</v>
      </c>
      <c r="E655" s="1">
        <v>33343.33</v>
      </c>
      <c r="F655" s="1">
        <v>3</v>
      </c>
      <c r="G655" s="1">
        <v>1</v>
      </c>
      <c r="H655" s="1">
        <v>0</v>
      </c>
      <c r="I655" s="1">
        <v>24861.61</v>
      </c>
      <c r="J655" s="1">
        <v>0</v>
      </c>
      <c r="K655">
        <f t="shared" si="10"/>
        <v>1</v>
      </c>
    </row>
    <row r="656" spans="1:11" x14ac:dyDescent="0.35">
      <c r="A656" s="1">
        <v>655</v>
      </c>
      <c r="B656" s="1">
        <v>42</v>
      </c>
      <c r="C656" s="1" t="s">
        <v>10</v>
      </c>
      <c r="D656" s="1">
        <v>43</v>
      </c>
      <c r="E656" s="1">
        <v>41165.47</v>
      </c>
      <c r="F656" s="1">
        <v>2</v>
      </c>
      <c r="G656" s="1">
        <v>1</v>
      </c>
      <c r="H656" s="1">
        <v>0</v>
      </c>
      <c r="I656" s="1">
        <v>85697.48</v>
      </c>
      <c r="J656" s="1">
        <v>0</v>
      </c>
      <c r="K656">
        <f t="shared" si="10"/>
        <v>1</v>
      </c>
    </row>
    <row r="657" spans="1:11" x14ac:dyDescent="0.35">
      <c r="A657" s="1">
        <v>656</v>
      </c>
      <c r="B657" s="1">
        <v>69</v>
      </c>
      <c r="C657" s="1" t="s">
        <v>10</v>
      </c>
      <c r="D657" s="1">
        <v>2</v>
      </c>
      <c r="E657" s="1">
        <v>39100.769999999997</v>
      </c>
      <c r="F657" s="1">
        <v>2</v>
      </c>
      <c r="G657" s="1">
        <v>0</v>
      </c>
      <c r="H657" s="1">
        <v>0</v>
      </c>
      <c r="I657" s="1">
        <v>72394.070000000007</v>
      </c>
      <c r="J657" s="1">
        <v>0</v>
      </c>
      <c r="K657">
        <f t="shared" si="10"/>
        <v>1</v>
      </c>
    </row>
    <row r="658" spans="1:11" x14ac:dyDescent="0.35">
      <c r="A658" s="1">
        <v>657</v>
      </c>
      <c r="B658" s="1">
        <v>38</v>
      </c>
      <c r="C658" s="1" t="s">
        <v>11</v>
      </c>
      <c r="D658" s="1">
        <v>60</v>
      </c>
      <c r="E658" s="1">
        <v>27190.29</v>
      </c>
      <c r="F658" s="1">
        <v>2</v>
      </c>
      <c r="G658" s="1">
        <v>0</v>
      </c>
      <c r="H658" s="1">
        <v>0</v>
      </c>
      <c r="I658" s="1">
        <v>102492.34</v>
      </c>
      <c r="J658" s="1">
        <v>0</v>
      </c>
      <c r="K658">
        <f t="shared" si="10"/>
        <v>1</v>
      </c>
    </row>
    <row r="659" spans="1:11" x14ac:dyDescent="0.35">
      <c r="A659" s="1">
        <v>658</v>
      </c>
      <c r="B659" s="1">
        <v>53</v>
      </c>
      <c r="C659" s="1" t="s">
        <v>10</v>
      </c>
      <c r="D659" s="1">
        <v>23</v>
      </c>
      <c r="E659" s="1">
        <v>4993.34</v>
      </c>
      <c r="F659" s="1">
        <v>4</v>
      </c>
      <c r="G659" s="1">
        <v>0</v>
      </c>
      <c r="H659" s="1">
        <v>0</v>
      </c>
      <c r="I659" s="1">
        <v>100754.22</v>
      </c>
      <c r="J659" s="1">
        <v>0</v>
      </c>
      <c r="K659">
        <f t="shared" si="10"/>
        <v>1</v>
      </c>
    </row>
    <row r="660" spans="1:11" x14ac:dyDescent="0.35">
      <c r="A660" s="1">
        <v>659</v>
      </c>
      <c r="B660" s="1">
        <v>40</v>
      </c>
      <c r="C660" s="1" t="s">
        <v>11</v>
      </c>
      <c r="D660" s="1">
        <v>31</v>
      </c>
      <c r="E660" s="1">
        <v>34402.22</v>
      </c>
      <c r="F660" s="1">
        <v>2</v>
      </c>
      <c r="G660" s="1">
        <v>0</v>
      </c>
      <c r="H660" s="1">
        <v>0</v>
      </c>
      <c r="I660" s="1">
        <v>35697.06</v>
      </c>
      <c r="J660" s="1">
        <v>0</v>
      </c>
      <c r="K660">
        <f t="shared" si="10"/>
        <v>1</v>
      </c>
    </row>
    <row r="661" spans="1:11" x14ac:dyDescent="0.35">
      <c r="A661" s="1">
        <v>660</v>
      </c>
      <c r="B661" s="1">
        <v>33</v>
      </c>
      <c r="C661" s="1" t="s">
        <v>11</v>
      </c>
      <c r="D661" s="1">
        <v>5</v>
      </c>
      <c r="E661" s="1">
        <v>12094.44</v>
      </c>
      <c r="F661" s="1">
        <v>4</v>
      </c>
      <c r="G661" s="1">
        <v>0</v>
      </c>
      <c r="H661" s="1">
        <v>1</v>
      </c>
      <c r="I661" s="1">
        <v>147005.51999999999</v>
      </c>
      <c r="J661" s="1">
        <v>0</v>
      </c>
      <c r="K661">
        <f t="shared" si="10"/>
        <v>1</v>
      </c>
    </row>
    <row r="662" spans="1:11" x14ac:dyDescent="0.35">
      <c r="A662" s="1">
        <v>661</v>
      </c>
      <c r="B662" s="1">
        <v>56</v>
      </c>
      <c r="C662" s="1" t="s">
        <v>10</v>
      </c>
      <c r="D662" s="1">
        <v>34</v>
      </c>
      <c r="E662" s="1">
        <v>45553.440000000002</v>
      </c>
      <c r="F662" s="1">
        <v>3</v>
      </c>
      <c r="G662" s="1">
        <v>0</v>
      </c>
      <c r="H662" s="1">
        <v>0</v>
      </c>
      <c r="I662" s="1">
        <v>44301.09</v>
      </c>
      <c r="J662" s="1">
        <v>0</v>
      </c>
      <c r="K662">
        <f t="shared" si="10"/>
        <v>1</v>
      </c>
    </row>
    <row r="663" spans="1:11" x14ac:dyDescent="0.35">
      <c r="A663" s="1">
        <v>662</v>
      </c>
      <c r="B663" s="1">
        <v>62</v>
      </c>
      <c r="C663" s="1" t="s">
        <v>10</v>
      </c>
      <c r="D663" s="1">
        <v>10</v>
      </c>
      <c r="E663" s="1">
        <v>41913.269999999997</v>
      </c>
      <c r="F663" s="1">
        <v>3</v>
      </c>
      <c r="G663" s="1">
        <v>1</v>
      </c>
      <c r="H663" s="1">
        <v>1</v>
      </c>
      <c r="I663" s="1">
        <v>77885.62</v>
      </c>
      <c r="J663" s="1">
        <v>0</v>
      </c>
      <c r="K663">
        <f t="shared" si="10"/>
        <v>1</v>
      </c>
    </row>
    <row r="664" spans="1:11" x14ac:dyDescent="0.35">
      <c r="A664" s="1">
        <v>663</v>
      </c>
      <c r="B664" s="1">
        <v>59</v>
      </c>
      <c r="C664" s="1" t="s">
        <v>10</v>
      </c>
      <c r="D664" s="1">
        <v>2</v>
      </c>
      <c r="E664" s="1">
        <v>35469.15</v>
      </c>
      <c r="F664" s="1">
        <v>4</v>
      </c>
      <c r="G664" s="1">
        <v>0</v>
      </c>
      <c r="H664" s="1">
        <v>0</v>
      </c>
      <c r="I664" s="1">
        <v>83455.28</v>
      </c>
      <c r="J664" s="1">
        <v>0</v>
      </c>
      <c r="K664">
        <f t="shared" si="10"/>
        <v>1</v>
      </c>
    </row>
    <row r="665" spans="1:11" x14ac:dyDescent="0.35">
      <c r="A665" s="1">
        <v>664</v>
      </c>
      <c r="B665" s="1">
        <v>56</v>
      </c>
      <c r="C665" s="1" t="s">
        <v>11</v>
      </c>
      <c r="D665" s="1">
        <v>11</v>
      </c>
      <c r="E665" s="1">
        <v>47442.3</v>
      </c>
      <c r="F665" s="1">
        <v>1</v>
      </c>
      <c r="G665" s="1">
        <v>0</v>
      </c>
      <c r="H665" s="1">
        <v>1</v>
      </c>
      <c r="I665" s="1">
        <v>125698.16</v>
      </c>
      <c r="J665" s="1">
        <v>0</v>
      </c>
      <c r="K665">
        <f t="shared" si="10"/>
        <v>1</v>
      </c>
    </row>
    <row r="666" spans="1:11" x14ac:dyDescent="0.35">
      <c r="A666" s="1">
        <v>665</v>
      </c>
      <c r="B666" s="1">
        <v>31</v>
      </c>
      <c r="C666" s="1" t="s">
        <v>10</v>
      </c>
      <c r="D666" s="1">
        <v>50</v>
      </c>
      <c r="E666" s="1">
        <v>1571.09</v>
      </c>
      <c r="F666" s="1">
        <v>2</v>
      </c>
      <c r="G666" s="1">
        <v>0</v>
      </c>
      <c r="H666" s="1">
        <v>1</v>
      </c>
      <c r="I666" s="1">
        <v>32899.85</v>
      </c>
      <c r="J666" s="1">
        <v>0</v>
      </c>
      <c r="K666">
        <f t="shared" si="10"/>
        <v>1</v>
      </c>
    </row>
    <row r="667" spans="1:11" x14ac:dyDescent="0.35">
      <c r="A667" s="1">
        <v>666</v>
      </c>
      <c r="B667" s="1">
        <v>48</v>
      </c>
      <c r="C667" s="1" t="s">
        <v>11</v>
      </c>
      <c r="D667" s="1">
        <v>31</v>
      </c>
      <c r="E667" s="1">
        <v>36810.019999999997</v>
      </c>
      <c r="F667" s="1">
        <v>2</v>
      </c>
      <c r="G667" s="1">
        <v>0</v>
      </c>
      <c r="H667" s="1">
        <v>1</v>
      </c>
      <c r="I667" s="1">
        <v>75723.759999999995</v>
      </c>
      <c r="J667" s="1">
        <v>0</v>
      </c>
      <c r="K667">
        <f t="shared" si="10"/>
        <v>1</v>
      </c>
    </row>
    <row r="668" spans="1:11" x14ac:dyDescent="0.35">
      <c r="A668" s="1">
        <v>667</v>
      </c>
      <c r="B668" s="1">
        <v>22</v>
      </c>
      <c r="C668" s="1" t="s">
        <v>11</v>
      </c>
      <c r="D668" s="1">
        <v>56</v>
      </c>
      <c r="E668" s="1">
        <v>16512.14</v>
      </c>
      <c r="F668" s="1">
        <v>2</v>
      </c>
      <c r="G668" s="1">
        <v>1</v>
      </c>
      <c r="H668" s="1">
        <v>0</v>
      </c>
      <c r="I668" s="1">
        <v>101705.28</v>
      </c>
      <c r="J668" s="1">
        <v>0</v>
      </c>
      <c r="K668">
        <f t="shared" si="10"/>
        <v>1</v>
      </c>
    </row>
    <row r="669" spans="1:11" x14ac:dyDescent="0.35">
      <c r="A669" s="1">
        <v>668</v>
      </c>
      <c r="B669" s="1">
        <v>52</v>
      </c>
      <c r="C669" s="1" t="s">
        <v>10</v>
      </c>
      <c r="D669" s="1">
        <v>9</v>
      </c>
      <c r="E669" s="1">
        <v>45303.29</v>
      </c>
      <c r="F669" s="1">
        <v>4</v>
      </c>
      <c r="G669" s="1">
        <v>1</v>
      </c>
      <c r="H669" s="1">
        <v>0</v>
      </c>
      <c r="I669" s="1">
        <v>47970.23</v>
      </c>
      <c r="J669" s="1">
        <v>0</v>
      </c>
      <c r="K669">
        <f t="shared" si="10"/>
        <v>1</v>
      </c>
    </row>
    <row r="670" spans="1:11" x14ac:dyDescent="0.35">
      <c r="A670" s="1">
        <v>669</v>
      </c>
      <c r="B670" s="1">
        <v>40</v>
      </c>
      <c r="C670" s="1" t="s">
        <v>10</v>
      </c>
      <c r="D670" s="1">
        <v>21</v>
      </c>
      <c r="E670" s="1">
        <v>13333.76</v>
      </c>
      <c r="F670" s="1">
        <v>3</v>
      </c>
      <c r="G670" s="1">
        <v>0</v>
      </c>
      <c r="H670" s="1">
        <v>0</v>
      </c>
      <c r="I670" s="1">
        <v>101570.83</v>
      </c>
      <c r="J670" s="1">
        <v>0</v>
      </c>
      <c r="K670">
        <f t="shared" si="10"/>
        <v>1</v>
      </c>
    </row>
    <row r="671" spans="1:11" x14ac:dyDescent="0.35">
      <c r="A671" s="1">
        <v>670</v>
      </c>
      <c r="B671" s="1">
        <v>46</v>
      </c>
      <c r="C671" s="1" t="s">
        <v>11</v>
      </c>
      <c r="D671" s="1">
        <v>28</v>
      </c>
      <c r="E671" s="1">
        <v>36242.82</v>
      </c>
      <c r="F671" s="1">
        <v>2</v>
      </c>
      <c r="G671" s="1">
        <v>1</v>
      </c>
      <c r="H671" s="1">
        <v>0</v>
      </c>
      <c r="I671" s="1">
        <v>140076.43</v>
      </c>
      <c r="J671" s="1">
        <v>0</v>
      </c>
      <c r="K671">
        <f t="shared" si="10"/>
        <v>1</v>
      </c>
    </row>
    <row r="672" spans="1:11" x14ac:dyDescent="0.35">
      <c r="A672" s="1">
        <v>671</v>
      </c>
      <c r="B672" s="1">
        <v>60</v>
      </c>
      <c r="C672" s="1" t="s">
        <v>11</v>
      </c>
      <c r="D672" s="1">
        <v>62</v>
      </c>
      <c r="E672" s="1">
        <v>43882.35</v>
      </c>
      <c r="F672" s="1">
        <v>3</v>
      </c>
      <c r="G672" s="1">
        <v>1</v>
      </c>
      <c r="H672" s="1">
        <v>1</v>
      </c>
      <c r="I672" s="1">
        <v>149677.35999999999</v>
      </c>
      <c r="J672" s="1">
        <v>0</v>
      </c>
      <c r="K672">
        <f t="shared" si="10"/>
        <v>1</v>
      </c>
    </row>
    <row r="673" spans="1:11" x14ac:dyDescent="0.35">
      <c r="A673" s="1">
        <v>672</v>
      </c>
      <c r="B673" s="1">
        <v>28</v>
      </c>
      <c r="C673" s="1" t="s">
        <v>11</v>
      </c>
      <c r="D673" s="1">
        <v>7</v>
      </c>
      <c r="E673" s="1">
        <v>2082.84</v>
      </c>
      <c r="F673" s="1">
        <v>2</v>
      </c>
      <c r="G673" s="1">
        <v>1</v>
      </c>
      <c r="H673" s="1">
        <v>0</v>
      </c>
      <c r="I673" s="1">
        <v>24218.639999999999</v>
      </c>
      <c r="J673" s="1">
        <v>1</v>
      </c>
      <c r="K673">
        <f t="shared" si="10"/>
        <v>1</v>
      </c>
    </row>
    <row r="674" spans="1:11" x14ac:dyDescent="0.35">
      <c r="A674" s="1">
        <v>673</v>
      </c>
      <c r="B674" s="1">
        <v>35</v>
      </c>
      <c r="C674" s="1" t="s">
        <v>10</v>
      </c>
      <c r="D674" s="1">
        <v>16</v>
      </c>
      <c r="E674" s="1">
        <v>19882.38</v>
      </c>
      <c r="F674" s="1">
        <v>2</v>
      </c>
      <c r="G674" s="1">
        <v>1</v>
      </c>
      <c r="H674" s="1">
        <v>1</v>
      </c>
      <c r="I674" s="1">
        <v>50626.47</v>
      </c>
      <c r="J674" s="1">
        <v>0</v>
      </c>
      <c r="K674">
        <f t="shared" si="10"/>
        <v>1</v>
      </c>
    </row>
    <row r="675" spans="1:11" x14ac:dyDescent="0.35">
      <c r="A675" s="1">
        <v>674</v>
      </c>
      <c r="B675" s="1">
        <v>64</v>
      </c>
      <c r="C675" s="1" t="s">
        <v>11</v>
      </c>
      <c r="D675" s="1">
        <v>4</v>
      </c>
      <c r="E675" s="1">
        <v>38115.449999999997</v>
      </c>
      <c r="F675" s="1">
        <v>4</v>
      </c>
      <c r="G675" s="1">
        <v>1</v>
      </c>
      <c r="H675" s="1">
        <v>1</v>
      </c>
      <c r="I675" s="1">
        <v>60339.93</v>
      </c>
      <c r="J675" s="1">
        <v>0</v>
      </c>
      <c r="K675">
        <f t="shared" si="10"/>
        <v>1</v>
      </c>
    </row>
    <row r="676" spans="1:11" x14ac:dyDescent="0.35">
      <c r="A676" s="1">
        <v>675</v>
      </c>
      <c r="B676" s="1">
        <v>29</v>
      </c>
      <c r="C676" s="1" t="s">
        <v>10</v>
      </c>
      <c r="D676" s="1">
        <v>4</v>
      </c>
      <c r="E676" s="1">
        <v>22745.94</v>
      </c>
      <c r="F676" s="1">
        <v>1</v>
      </c>
      <c r="G676" s="1">
        <v>1</v>
      </c>
      <c r="H676" s="1">
        <v>0</v>
      </c>
      <c r="I676" s="1">
        <v>71886.39</v>
      </c>
      <c r="J676" s="1">
        <v>0</v>
      </c>
      <c r="K676">
        <f t="shared" si="10"/>
        <v>1</v>
      </c>
    </row>
    <row r="677" spans="1:11" x14ac:dyDescent="0.35">
      <c r="A677" s="1">
        <v>676</v>
      </c>
      <c r="B677" s="1">
        <v>26</v>
      </c>
      <c r="C677" s="1" t="s">
        <v>11</v>
      </c>
      <c r="D677" s="1">
        <v>40</v>
      </c>
      <c r="E677" s="1">
        <v>13362.63</v>
      </c>
      <c r="F677" s="1">
        <v>4</v>
      </c>
      <c r="G677" s="1">
        <v>0</v>
      </c>
      <c r="H677" s="1">
        <v>0</v>
      </c>
      <c r="I677" s="1">
        <v>51493.43</v>
      </c>
      <c r="J677" s="1">
        <v>0</v>
      </c>
      <c r="K677">
        <f t="shared" si="10"/>
        <v>1</v>
      </c>
    </row>
    <row r="678" spans="1:11" x14ac:dyDescent="0.35">
      <c r="A678" s="1">
        <v>677</v>
      </c>
      <c r="B678" s="1">
        <v>27</v>
      </c>
      <c r="C678" s="1" t="s">
        <v>11</v>
      </c>
      <c r="D678" s="1">
        <v>17</v>
      </c>
      <c r="E678" s="1">
        <v>10990.27</v>
      </c>
      <c r="F678" s="1">
        <v>2</v>
      </c>
      <c r="G678" s="1">
        <v>0</v>
      </c>
      <c r="H678" s="1">
        <v>0</v>
      </c>
      <c r="I678" s="1">
        <v>46453.440000000002</v>
      </c>
      <c r="J678" s="1">
        <v>0</v>
      </c>
      <c r="K678">
        <f t="shared" si="10"/>
        <v>1</v>
      </c>
    </row>
    <row r="679" spans="1:11" x14ac:dyDescent="0.35">
      <c r="A679" s="1">
        <v>678</v>
      </c>
      <c r="B679" s="1">
        <v>61</v>
      </c>
      <c r="C679" s="1" t="s">
        <v>10</v>
      </c>
      <c r="D679" s="1">
        <v>52</v>
      </c>
      <c r="E679" s="1">
        <v>6575.91</v>
      </c>
      <c r="F679" s="1">
        <v>2</v>
      </c>
      <c r="G679" s="1">
        <v>0</v>
      </c>
      <c r="H679" s="1">
        <v>1</v>
      </c>
      <c r="I679" s="1">
        <v>144092</v>
      </c>
      <c r="J679" s="1">
        <v>0</v>
      </c>
      <c r="K679">
        <f t="shared" si="10"/>
        <v>1</v>
      </c>
    </row>
    <row r="680" spans="1:11" x14ac:dyDescent="0.35">
      <c r="A680" s="1">
        <v>679</v>
      </c>
      <c r="B680" s="1">
        <v>34</v>
      </c>
      <c r="C680" s="1" t="s">
        <v>11</v>
      </c>
      <c r="D680" s="1">
        <v>52</v>
      </c>
      <c r="E680" s="1">
        <v>42856.480000000003</v>
      </c>
      <c r="F680" s="1">
        <v>1</v>
      </c>
      <c r="G680" s="1">
        <v>0</v>
      </c>
      <c r="H680" s="1">
        <v>0</v>
      </c>
      <c r="I680" s="1">
        <v>139407.81</v>
      </c>
      <c r="J680" s="1">
        <v>0</v>
      </c>
      <c r="K680">
        <f t="shared" si="10"/>
        <v>1</v>
      </c>
    </row>
    <row r="681" spans="1:11" x14ac:dyDescent="0.35">
      <c r="A681" s="1">
        <v>680</v>
      </c>
      <c r="B681" s="1">
        <v>55</v>
      </c>
      <c r="C681" s="1" t="s">
        <v>10</v>
      </c>
      <c r="D681" s="1">
        <v>36</v>
      </c>
      <c r="E681" s="1">
        <v>28767.77</v>
      </c>
      <c r="F681" s="1">
        <v>3</v>
      </c>
      <c r="G681" s="1">
        <v>0</v>
      </c>
      <c r="H681" s="1">
        <v>1</v>
      </c>
      <c r="I681" s="1">
        <v>26109.03</v>
      </c>
      <c r="J681" s="1">
        <v>0</v>
      </c>
      <c r="K681">
        <f t="shared" si="10"/>
        <v>1</v>
      </c>
    </row>
    <row r="682" spans="1:11" x14ac:dyDescent="0.35">
      <c r="A682" s="1">
        <v>681</v>
      </c>
      <c r="B682" s="1">
        <v>24</v>
      </c>
      <c r="C682" s="1" t="s">
        <v>10</v>
      </c>
      <c r="D682" s="1">
        <v>38</v>
      </c>
      <c r="E682" s="1">
        <v>3819.25</v>
      </c>
      <c r="F682" s="1">
        <v>3</v>
      </c>
      <c r="G682" s="1">
        <v>1</v>
      </c>
      <c r="H682" s="1">
        <v>0</v>
      </c>
      <c r="I682" s="1">
        <v>64045.69</v>
      </c>
      <c r="J682" s="1">
        <v>0</v>
      </c>
      <c r="K682">
        <f t="shared" si="10"/>
        <v>1</v>
      </c>
    </row>
    <row r="683" spans="1:11" x14ac:dyDescent="0.35">
      <c r="A683" s="1">
        <v>682</v>
      </c>
      <c r="B683" s="1">
        <v>63</v>
      </c>
      <c r="C683" s="1" t="s">
        <v>11</v>
      </c>
      <c r="D683" s="1">
        <v>50</v>
      </c>
      <c r="E683" s="1">
        <v>19129.02</v>
      </c>
      <c r="F683" s="1">
        <v>2</v>
      </c>
      <c r="G683" s="1">
        <v>0</v>
      </c>
      <c r="H683" s="1">
        <v>1</v>
      </c>
      <c r="I683" s="1">
        <v>72669.31</v>
      </c>
      <c r="J683" s="1">
        <v>0</v>
      </c>
      <c r="K683">
        <f t="shared" si="10"/>
        <v>1</v>
      </c>
    </row>
    <row r="684" spans="1:11" x14ac:dyDescent="0.35">
      <c r="A684" s="1">
        <v>683</v>
      </c>
      <c r="B684" s="1">
        <v>30</v>
      </c>
      <c r="C684" s="1" t="s">
        <v>10</v>
      </c>
      <c r="D684" s="1">
        <v>63</v>
      </c>
      <c r="E684" s="1">
        <v>18386.68</v>
      </c>
      <c r="F684" s="1">
        <v>3</v>
      </c>
      <c r="G684" s="1">
        <v>0</v>
      </c>
      <c r="H684" s="1">
        <v>0</v>
      </c>
      <c r="I684" s="1">
        <v>51071.89</v>
      </c>
      <c r="J684" s="1">
        <v>0</v>
      </c>
      <c r="K684">
        <f t="shared" si="10"/>
        <v>1</v>
      </c>
    </row>
    <row r="685" spans="1:11" x14ac:dyDescent="0.35">
      <c r="A685" s="1">
        <v>684</v>
      </c>
      <c r="B685" s="1">
        <v>57</v>
      </c>
      <c r="C685" s="1" t="s">
        <v>10</v>
      </c>
      <c r="D685" s="1">
        <v>63</v>
      </c>
      <c r="E685" s="1">
        <v>9086.9599999999991</v>
      </c>
      <c r="F685" s="1">
        <v>2</v>
      </c>
      <c r="G685" s="1">
        <v>1</v>
      </c>
      <c r="H685" s="1">
        <v>0</v>
      </c>
      <c r="I685" s="1">
        <v>101753.48</v>
      </c>
      <c r="J685" s="1">
        <v>0</v>
      </c>
      <c r="K685">
        <f t="shared" si="10"/>
        <v>1</v>
      </c>
    </row>
    <row r="686" spans="1:11" x14ac:dyDescent="0.35">
      <c r="A686" s="1">
        <v>685</v>
      </c>
      <c r="B686" s="1">
        <v>59</v>
      </c>
      <c r="C686" s="1" t="s">
        <v>11</v>
      </c>
      <c r="D686" s="1">
        <v>62</v>
      </c>
      <c r="E686" s="1">
        <v>21775.38</v>
      </c>
      <c r="F686" s="1">
        <v>1</v>
      </c>
      <c r="G686" s="1">
        <v>1</v>
      </c>
      <c r="H686" s="1">
        <v>1</v>
      </c>
      <c r="I686" s="1">
        <v>103249.5</v>
      </c>
      <c r="J686" s="1">
        <v>0</v>
      </c>
      <c r="K686">
        <f t="shared" si="10"/>
        <v>1</v>
      </c>
    </row>
    <row r="687" spans="1:11" x14ac:dyDescent="0.35">
      <c r="A687" s="1">
        <v>686</v>
      </c>
      <c r="B687" s="1">
        <v>26</v>
      </c>
      <c r="C687" s="1" t="s">
        <v>10</v>
      </c>
      <c r="D687" s="1">
        <v>7</v>
      </c>
      <c r="E687" s="1">
        <v>16604.97</v>
      </c>
      <c r="F687" s="1">
        <v>1</v>
      </c>
      <c r="G687" s="1">
        <v>0</v>
      </c>
      <c r="H687" s="1">
        <v>0</v>
      </c>
      <c r="I687" s="1">
        <v>130565.55</v>
      </c>
      <c r="J687" s="1">
        <v>0</v>
      </c>
      <c r="K687">
        <f t="shared" si="10"/>
        <v>1</v>
      </c>
    </row>
    <row r="688" spans="1:11" x14ac:dyDescent="0.35">
      <c r="A688" s="1">
        <v>687</v>
      </c>
      <c r="B688" s="1">
        <v>67</v>
      </c>
      <c r="C688" s="1" t="s">
        <v>10</v>
      </c>
      <c r="D688" s="1">
        <v>27</v>
      </c>
      <c r="E688" s="1">
        <v>17090.189999999999</v>
      </c>
      <c r="F688" s="1">
        <v>2</v>
      </c>
      <c r="G688" s="1">
        <v>1</v>
      </c>
      <c r="H688" s="1">
        <v>0</v>
      </c>
      <c r="I688" s="1">
        <v>116313</v>
      </c>
      <c r="J688" s="1">
        <v>0</v>
      </c>
      <c r="K688">
        <f t="shared" si="10"/>
        <v>1</v>
      </c>
    </row>
    <row r="689" spans="1:11" x14ac:dyDescent="0.35">
      <c r="A689" s="1">
        <v>688</v>
      </c>
      <c r="B689" s="1">
        <v>44</v>
      </c>
      <c r="C689" s="1" t="s">
        <v>10</v>
      </c>
      <c r="D689" s="1">
        <v>14</v>
      </c>
      <c r="E689" s="1">
        <v>36951.33</v>
      </c>
      <c r="F689" s="1">
        <v>1</v>
      </c>
      <c r="G689" s="1">
        <v>1</v>
      </c>
      <c r="H689" s="1">
        <v>0</v>
      </c>
      <c r="I689" s="1">
        <v>90534.53</v>
      </c>
      <c r="J689" s="1">
        <v>0</v>
      </c>
      <c r="K689">
        <f t="shared" si="10"/>
        <v>1</v>
      </c>
    </row>
    <row r="690" spans="1:11" x14ac:dyDescent="0.35">
      <c r="A690" s="1">
        <v>689</v>
      </c>
      <c r="B690" s="1">
        <v>19</v>
      </c>
      <c r="C690" s="1" t="s">
        <v>11</v>
      </c>
      <c r="D690" s="1">
        <v>71</v>
      </c>
      <c r="E690" s="1">
        <v>11163.17</v>
      </c>
      <c r="F690" s="1">
        <v>4</v>
      </c>
      <c r="G690" s="1">
        <v>1</v>
      </c>
      <c r="H690" s="1">
        <v>0</v>
      </c>
      <c r="I690" s="1">
        <v>104966.28</v>
      </c>
      <c r="J690" s="1">
        <v>0</v>
      </c>
      <c r="K690">
        <f t="shared" si="10"/>
        <v>1</v>
      </c>
    </row>
    <row r="691" spans="1:11" x14ac:dyDescent="0.35">
      <c r="A691" s="1">
        <v>690</v>
      </c>
      <c r="B691" s="1">
        <v>22</v>
      </c>
      <c r="C691" s="1" t="s">
        <v>10</v>
      </c>
      <c r="D691" s="1">
        <v>5</v>
      </c>
      <c r="E691" s="1">
        <v>32093</v>
      </c>
      <c r="F691" s="1">
        <v>4</v>
      </c>
      <c r="G691" s="1">
        <v>1</v>
      </c>
      <c r="H691" s="1">
        <v>0</v>
      </c>
      <c r="I691" s="1">
        <v>55618.54</v>
      </c>
      <c r="J691" s="1">
        <v>0</v>
      </c>
      <c r="K691">
        <f t="shared" si="10"/>
        <v>1</v>
      </c>
    </row>
    <row r="692" spans="1:11" x14ac:dyDescent="0.35">
      <c r="A692" s="1">
        <v>691</v>
      </c>
      <c r="B692" s="1">
        <v>46</v>
      </c>
      <c r="C692" s="1" t="s">
        <v>11</v>
      </c>
      <c r="D692" s="1">
        <v>55</v>
      </c>
      <c r="E692" s="1">
        <v>28532.48</v>
      </c>
      <c r="F692" s="1">
        <v>1</v>
      </c>
      <c r="G692" s="1">
        <v>0</v>
      </c>
      <c r="H692" s="1">
        <v>0</v>
      </c>
      <c r="I692" s="1">
        <v>97097.3</v>
      </c>
      <c r="J692" s="1">
        <v>0</v>
      </c>
      <c r="K692">
        <f t="shared" si="10"/>
        <v>1</v>
      </c>
    </row>
    <row r="693" spans="1:11" x14ac:dyDescent="0.35">
      <c r="A693" s="1">
        <v>692</v>
      </c>
      <c r="B693" s="1">
        <v>54</v>
      </c>
      <c r="C693" s="1" t="s">
        <v>11</v>
      </c>
      <c r="D693" s="1">
        <v>2</v>
      </c>
      <c r="E693" s="1">
        <v>28404.63</v>
      </c>
      <c r="F693" s="1">
        <v>2</v>
      </c>
      <c r="G693" s="1">
        <v>1</v>
      </c>
      <c r="H693" s="1">
        <v>0</v>
      </c>
      <c r="I693" s="1">
        <v>83599.539999999994</v>
      </c>
      <c r="J693" s="1">
        <v>0</v>
      </c>
      <c r="K693">
        <f t="shared" si="10"/>
        <v>1</v>
      </c>
    </row>
    <row r="694" spans="1:11" x14ac:dyDescent="0.35">
      <c r="A694" s="1">
        <v>693</v>
      </c>
      <c r="B694" s="1">
        <v>55</v>
      </c>
      <c r="C694" s="1" t="s">
        <v>10</v>
      </c>
      <c r="D694" s="1">
        <v>62</v>
      </c>
      <c r="E694" s="1">
        <v>33150.370000000003</v>
      </c>
      <c r="F694" s="1">
        <v>2</v>
      </c>
      <c r="G694" s="1">
        <v>0</v>
      </c>
      <c r="H694" s="1">
        <v>1</v>
      </c>
      <c r="I694" s="1">
        <v>37334.78</v>
      </c>
      <c r="J694" s="1">
        <v>0</v>
      </c>
      <c r="K694">
        <f t="shared" si="10"/>
        <v>1</v>
      </c>
    </row>
    <row r="695" spans="1:11" x14ac:dyDescent="0.35">
      <c r="A695" s="1">
        <v>694</v>
      </c>
      <c r="B695" s="1">
        <v>36</v>
      </c>
      <c r="C695" s="1" t="s">
        <v>10</v>
      </c>
      <c r="D695" s="1">
        <v>21</v>
      </c>
      <c r="E695" s="1">
        <v>27419.1</v>
      </c>
      <c r="F695" s="1">
        <v>1</v>
      </c>
      <c r="G695" s="1">
        <v>0</v>
      </c>
      <c r="H695" s="1">
        <v>1</v>
      </c>
      <c r="I695" s="1">
        <v>51530.76</v>
      </c>
      <c r="J695" s="1">
        <v>0</v>
      </c>
      <c r="K695">
        <f t="shared" si="10"/>
        <v>1</v>
      </c>
    </row>
    <row r="696" spans="1:11" x14ac:dyDescent="0.35">
      <c r="A696" s="1">
        <v>695</v>
      </c>
      <c r="B696" s="1">
        <v>25</v>
      </c>
      <c r="C696" s="1" t="s">
        <v>10</v>
      </c>
      <c r="D696" s="1">
        <v>21</v>
      </c>
      <c r="E696" s="1">
        <v>43962.76</v>
      </c>
      <c r="F696" s="1">
        <v>3</v>
      </c>
      <c r="G696" s="1">
        <v>1</v>
      </c>
      <c r="H696" s="1">
        <v>0</v>
      </c>
      <c r="I696" s="1">
        <v>57920.15</v>
      </c>
      <c r="J696" s="1">
        <v>0</v>
      </c>
      <c r="K696">
        <f t="shared" si="10"/>
        <v>1</v>
      </c>
    </row>
    <row r="697" spans="1:11" x14ac:dyDescent="0.35">
      <c r="A697" s="1">
        <v>696</v>
      </c>
      <c r="B697" s="1">
        <v>65</v>
      </c>
      <c r="C697" s="1" t="s">
        <v>11</v>
      </c>
      <c r="D697" s="1">
        <v>10</v>
      </c>
      <c r="E697" s="1">
        <v>33779</v>
      </c>
      <c r="F697" s="1">
        <v>4</v>
      </c>
      <c r="G697" s="1">
        <v>1</v>
      </c>
      <c r="H697" s="1">
        <v>0</v>
      </c>
      <c r="I697" s="1">
        <v>140160.24</v>
      </c>
      <c r="J697" s="1">
        <v>0</v>
      </c>
      <c r="K697">
        <f t="shared" si="10"/>
        <v>1</v>
      </c>
    </row>
    <row r="698" spans="1:11" x14ac:dyDescent="0.35">
      <c r="A698" s="1">
        <v>697</v>
      </c>
      <c r="B698" s="1">
        <v>62</v>
      </c>
      <c r="C698" s="1" t="s">
        <v>10</v>
      </c>
      <c r="D698" s="1">
        <v>58</v>
      </c>
      <c r="E698" s="1">
        <v>27348.16</v>
      </c>
      <c r="F698" s="1">
        <v>3</v>
      </c>
      <c r="G698" s="1">
        <v>1</v>
      </c>
      <c r="H698" s="1">
        <v>0</v>
      </c>
      <c r="I698" s="1">
        <v>49950.26</v>
      </c>
      <c r="J698" s="1">
        <v>0</v>
      </c>
      <c r="K698">
        <f t="shared" si="10"/>
        <v>1</v>
      </c>
    </row>
    <row r="699" spans="1:11" x14ac:dyDescent="0.35">
      <c r="A699" s="1">
        <v>698</v>
      </c>
      <c r="B699" s="1">
        <v>18</v>
      </c>
      <c r="C699" s="1" t="s">
        <v>10</v>
      </c>
      <c r="D699" s="1">
        <v>39</v>
      </c>
      <c r="E699" s="1">
        <v>41488.160000000003</v>
      </c>
      <c r="F699" s="1">
        <v>2</v>
      </c>
      <c r="G699" s="1">
        <v>0</v>
      </c>
      <c r="H699" s="1">
        <v>1</v>
      </c>
      <c r="I699" s="1">
        <v>57601.71</v>
      </c>
      <c r="J699" s="1">
        <v>0</v>
      </c>
      <c r="K699">
        <f t="shared" si="10"/>
        <v>1</v>
      </c>
    </row>
    <row r="700" spans="1:11" x14ac:dyDescent="0.35">
      <c r="A700" s="1">
        <v>699</v>
      </c>
      <c r="B700" s="1">
        <v>39</v>
      </c>
      <c r="C700" s="1" t="s">
        <v>10</v>
      </c>
      <c r="D700" s="1">
        <v>5</v>
      </c>
      <c r="E700" s="1">
        <v>30307.33</v>
      </c>
      <c r="F700" s="1">
        <v>2</v>
      </c>
      <c r="G700" s="1">
        <v>1</v>
      </c>
      <c r="H700" s="1">
        <v>1</v>
      </c>
      <c r="I700" s="1">
        <v>68016.039999999994</v>
      </c>
      <c r="J700" s="1">
        <v>0</v>
      </c>
      <c r="K700">
        <f t="shared" si="10"/>
        <v>1</v>
      </c>
    </row>
    <row r="701" spans="1:11" x14ac:dyDescent="0.35">
      <c r="A701" s="1">
        <v>700</v>
      </c>
      <c r="B701" s="1">
        <v>69</v>
      </c>
      <c r="C701" s="1" t="s">
        <v>10</v>
      </c>
      <c r="D701" s="1">
        <v>65</v>
      </c>
      <c r="E701" s="1">
        <v>14557.21</v>
      </c>
      <c r="F701" s="1">
        <v>3</v>
      </c>
      <c r="G701" s="1">
        <v>1</v>
      </c>
      <c r="H701" s="1">
        <v>0</v>
      </c>
      <c r="I701" s="1">
        <v>106286.56</v>
      </c>
      <c r="J701" s="1">
        <v>0</v>
      </c>
      <c r="K701">
        <f t="shared" si="10"/>
        <v>1</v>
      </c>
    </row>
    <row r="702" spans="1:11" x14ac:dyDescent="0.35">
      <c r="A702" s="1">
        <v>701</v>
      </c>
      <c r="B702" s="1">
        <v>34</v>
      </c>
      <c r="C702" s="1" t="s">
        <v>10</v>
      </c>
      <c r="D702" s="1">
        <v>13</v>
      </c>
      <c r="E702" s="1">
        <v>10354.75</v>
      </c>
      <c r="F702" s="1">
        <v>1</v>
      </c>
      <c r="G702" s="1">
        <v>1</v>
      </c>
      <c r="H702" s="1">
        <v>1</v>
      </c>
      <c r="I702" s="1">
        <v>35370.99</v>
      </c>
      <c r="J702" s="1">
        <v>0</v>
      </c>
      <c r="K702">
        <f t="shared" si="10"/>
        <v>1</v>
      </c>
    </row>
    <row r="703" spans="1:11" x14ac:dyDescent="0.35">
      <c r="A703" s="1">
        <v>702</v>
      </c>
      <c r="B703" s="1">
        <v>24</v>
      </c>
      <c r="C703" s="1" t="s">
        <v>11</v>
      </c>
      <c r="D703" s="1">
        <v>53</v>
      </c>
      <c r="E703" s="1">
        <v>7616.39</v>
      </c>
      <c r="F703" s="1">
        <v>3</v>
      </c>
      <c r="G703" s="1">
        <v>1</v>
      </c>
      <c r="H703" s="1">
        <v>0</v>
      </c>
      <c r="I703" s="1">
        <v>144012.88</v>
      </c>
      <c r="J703" s="1">
        <v>0</v>
      </c>
      <c r="K703">
        <f t="shared" si="10"/>
        <v>1</v>
      </c>
    </row>
    <row r="704" spans="1:11" x14ac:dyDescent="0.35">
      <c r="A704" s="1">
        <v>703</v>
      </c>
      <c r="B704" s="1">
        <v>42</v>
      </c>
      <c r="C704" s="1" t="s">
        <v>11</v>
      </c>
      <c r="D704" s="1">
        <v>45</v>
      </c>
      <c r="E704" s="1">
        <v>44972.76</v>
      </c>
      <c r="F704" s="1">
        <v>3</v>
      </c>
      <c r="G704" s="1">
        <v>1</v>
      </c>
      <c r="H704" s="1">
        <v>0</v>
      </c>
      <c r="I704" s="1">
        <v>132524.26</v>
      </c>
      <c r="J704" s="1">
        <v>0</v>
      </c>
      <c r="K704">
        <f t="shared" si="10"/>
        <v>1</v>
      </c>
    </row>
    <row r="705" spans="1:11" x14ac:dyDescent="0.35">
      <c r="A705" s="1">
        <v>704</v>
      </c>
      <c r="B705" s="1">
        <v>62</v>
      </c>
      <c r="C705" s="1" t="s">
        <v>10</v>
      </c>
      <c r="D705" s="1">
        <v>32</v>
      </c>
      <c r="E705" s="1">
        <v>35506.769999999997</v>
      </c>
      <c r="F705" s="1">
        <v>4</v>
      </c>
      <c r="G705" s="1">
        <v>0</v>
      </c>
      <c r="H705" s="1">
        <v>0</v>
      </c>
      <c r="I705" s="1">
        <v>95038.09</v>
      </c>
      <c r="J705" s="1">
        <v>0</v>
      </c>
      <c r="K705">
        <f t="shared" si="10"/>
        <v>1</v>
      </c>
    </row>
    <row r="706" spans="1:11" x14ac:dyDescent="0.35">
      <c r="A706" s="1">
        <v>705</v>
      </c>
      <c r="B706" s="1">
        <v>21</v>
      </c>
      <c r="C706" s="1" t="s">
        <v>10</v>
      </c>
      <c r="D706" s="1">
        <v>36</v>
      </c>
      <c r="E706" s="1">
        <v>46868.92</v>
      </c>
      <c r="F706" s="1">
        <v>4</v>
      </c>
      <c r="G706" s="1">
        <v>1</v>
      </c>
      <c r="H706" s="1">
        <v>0</v>
      </c>
      <c r="I706" s="1">
        <v>107624.92</v>
      </c>
      <c r="J706" s="1">
        <v>0</v>
      </c>
      <c r="K706">
        <f t="shared" si="10"/>
        <v>1</v>
      </c>
    </row>
    <row r="707" spans="1:11" x14ac:dyDescent="0.35">
      <c r="A707" s="1">
        <v>706</v>
      </c>
      <c r="B707" s="1">
        <v>53</v>
      </c>
      <c r="C707" s="1" t="s">
        <v>10</v>
      </c>
      <c r="D707" s="1">
        <v>60</v>
      </c>
      <c r="E707" s="1">
        <v>30164.59</v>
      </c>
      <c r="F707" s="1">
        <v>3</v>
      </c>
      <c r="G707" s="1">
        <v>1</v>
      </c>
      <c r="H707" s="1">
        <v>1</v>
      </c>
      <c r="I707" s="1">
        <v>22165.86</v>
      </c>
      <c r="J707" s="1">
        <v>0</v>
      </c>
      <c r="K707">
        <f t="shared" ref="K707:K770" si="11">COUNTIF($A$2:$A$1001,A707)</f>
        <v>1</v>
      </c>
    </row>
    <row r="708" spans="1:11" x14ac:dyDescent="0.35">
      <c r="A708" s="1">
        <v>707</v>
      </c>
      <c r="B708" s="1">
        <v>23</v>
      </c>
      <c r="C708" s="1" t="s">
        <v>10</v>
      </c>
      <c r="D708" s="1">
        <v>11</v>
      </c>
      <c r="E708" s="1">
        <v>23670.04</v>
      </c>
      <c r="F708" s="1">
        <v>3</v>
      </c>
      <c r="G708" s="1">
        <v>1</v>
      </c>
      <c r="H708" s="1">
        <v>1</v>
      </c>
      <c r="I708" s="1">
        <v>64062.82</v>
      </c>
      <c r="J708" s="1">
        <v>0</v>
      </c>
      <c r="K708">
        <f t="shared" si="11"/>
        <v>1</v>
      </c>
    </row>
    <row r="709" spans="1:11" x14ac:dyDescent="0.35">
      <c r="A709" s="1">
        <v>708</v>
      </c>
      <c r="B709" s="1">
        <v>48</v>
      </c>
      <c r="C709" s="1" t="s">
        <v>11</v>
      </c>
      <c r="D709" s="1">
        <v>63</v>
      </c>
      <c r="E709" s="1">
        <v>2985.82</v>
      </c>
      <c r="F709" s="1">
        <v>2</v>
      </c>
      <c r="G709" s="1">
        <v>0</v>
      </c>
      <c r="H709" s="1">
        <v>0</v>
      </c>
      <c r="I709" s="1">
        <v>123435.83</v>
      </c>
      <c r="J709" s="1">
        <v>0</v>
      </c>
      <c r="K709">
        <f t="shared" si="11"/>
        <v>1</v>
      </c>
    </row>
    <row r="710" spans="1:11" x14ac:dyDescent="0.35">
      <c r="A710" s="1">
        <v>709</v>
      </c>
      <c r="B710" s="1">
        <v>36</v>
      </c>
      <c r="C710" s="1" t="s">
        <v>10</v>
      </c>
      <c r="D710" s="1">
        <v>21</v>
      </c>
      <c r="E710" s="1">
        <v>33582.11</v>
      </c>
      <c r="F710" s="1">
        <v>4</v>
      </c>
      <c r="G710" s="1">
        <v>1</v>
      </c>
      <c r="H710" s="1">
        <v>1</v>
      </c>
      <c r="I710" s="1">
        <v>30072.79</v>
      </c>
      <c r="J710" s="1">
        <v>0</v>
      </c>
      <c r="K710">
        <f t="shared" si="11"/>
        <v>1</v>
      </c>
    </row>
    <row r="711" spans="1:11" x14ac:dyDescent="0.35">
      <c r="A711" s="1">
        <v>710</v>
      </c>
      <c r="B711" s="1">
        <v>61</v>
      </c>
      <c r="C711" s="1" t="s">
        <v>11</v>
      </c>
      <c r="D711" s="1">
        <v>52</v>
      </c>
      <c r="E711" s="1">
        <v>29110.44</v>
      </c>
      <c r="F711" s="1">
        <v>4</v>
      </c>
      <c r="G711" s="1">
        <v>0</v>
      </c>
      <c r="H711" s="1">
        <v>1</v>
      </c>
      <c r="I711" s="1">
        <v>56700.800000000003</v>
      </c>
      <c r="J711" s="1">
        <v>0</v>
      </c>
      <c r="K711">
        <f t="shared" si="11"/>
        <v>1</v>
      </c>
    </row>
    <row r="712" spans="1:11" x14ac:dyDescent="0.35">
      <c r="A712" s="1">
        <v>711</v>
      </c>
      <c r="B712" s="1">
        <v>56</v>
      </c>
      <c r="C712" s="1" t="s">
        <v>11</v>
      </c>
      <c r="D712" s="1">
        <v>55</v>
      </c>
      <c r="E712" s="1">
        <v>49510.44</v>
      </c>
      <c r="F712" s="1">
        <v>2</v>
      </c>
      <c r="G712" s="1">
        <v>0</v>
      </c>
      <c r="H712" s="1">
        <v>0</v>
      </c>
      <c r="I712" s="1">
        <v>96088.59</v>
      </c>
      <c r="J712" s="1">
        <v>0</v>
      </c>
      <c r="K712">
        <f t="shared" si="11"/>
        <v>1</v>
      </c>
    </row>
    <row r="713" spans="1:11" x14ac:dyDescent="0.35">
      <c r="A713" s="1">
        <v>712</v>
      </c>
      <c r="B713" s="1">
        <v>44</v>
      </c>
      <c r="C713" s="1" t="s">
        <v>10</v>
      </c>
      <c r="D713" s="1">
        <v>26</v>
      </c>
      <c r="E713" s="1">
        <v>11957.94</v>
      </c>
      <c r="F713" s="1">
        <v>1</v>
      </c>
      <c r="G713" s="1">
        <v>1</v>
      </c>
      <c r="H713" s="1">
        <v>1</v>
      </c>
      <c r="I713" s="1">
        <v>53333.69</v>
      </c>
      <c r="J713" s="1">
        <v>0</v>
      </c>
      <c r="K713">
        <f t="shared" si="11"/>
        <v>1</v>
      </c>
    </row>
    <row r="714" spans="1:11" x14ac:dyDescent="0.35">
      <c r="A714" s="1">
        <v>713</v>
      </c>
      <c r="B714" s="1">
        <v>27</v>
      </c>
      <c r="C714" s="1" t="s">
        <v>11</v>
      </c>
      <c r="D714" s="1">
        <v>68</v>
      </c>
      <c r="E714" s="1">
        <v>26536.87</v>
      </c>
      <c r="F714" s="1">
        <v>4</v>
      </c>
      <c r="G714" s="1">
        <v>1</v>
      </c>
      <c r="H714" s="1">
        <v>0</v>
      </c>
      <c r="I714" s="1">
        <v>141417.14000000001</v>
      </c>
      <c r="J714" s="1">
        <v>0</v>
      </c>
      <c r="K714">
        <f t="shared" si="11"/>
        <v>1</v>
      </c>
    </row>
    <row r="715" spans="1:11" x14ac:dyDescent="0.35">
      <c r="A715" s="1">
        <v>714</v>
      </c>
      <c r="B715" s="1">
        <v>43</v>
      </c>
      <c r="C715" s="1" t="s">
        <v>11</v>
      </c>
      <c r="D715" s="1">
        <v>34</v>
      </c>
      <c r="E715" s="1">
        <v>32547.87</v>
      </c>
      <c r="F715" s="1">
        <v>4</v>
      </c>
      <c r="G715" s="1">
        <v>1</v>
      </c>
      <c r="H715" s="1">
        <v>0</v>
      </c>
      <c r="I715" s="1">
        <v>37037.620000000003</v>
      </c>
      <c r="J715" s="1">
        <v>0</v>
      </c>
      <c r="K715">
        <f t="shared" si="11"/>
        <v>1</v>
      </c>
    </row>
    <row r="716" spans="1:11" x14ac:dyDescent="0.35">
      <c r="A716" s="1">
        <v>715</v>
      </c>
      <c r="B716" s="1">
        <v>36</v>
      </c>
      <c r="C716" s="1" t="s">
        <v>11</v>
      </c>
      <c r="D716" s="1">
        <v>52</v>
      </c>
      <c r="E716" s="1">
        <v>32229.56</v>
      </c>
      <c r="F716" s="1">
        <v>1</v>
      </c>
      <c r="G716" s="1">
        <v>0</v>
      </c>
      <c r="H716" s="1">
        <v>0</v>
      </c>
      <c r="I716" s="1">
        <v>123661.27</v>
      </c>
      <c r="J716" s="1">
        <v>0</v>
      </c>
      <c r="K716">
        <f t="shared" si="11"/>
        <v>1</v>
      </c>
    </row>
    <row r="717" spans="1:11" x14ac:dyDescent="0.35">
      <c r="A717" s="1">
        <v>716</v>
      </c>
      <c r="B717" s="1">
        <v>56</v>
      </c>
      <c r="C717" s="1" t="s">
        <v>11</v>
      </c>
      <c r="D717" s="1">
        <v>52</v>
      </c>
      <c r="E717" s="1">
        <v>28064.68</v>
      </c>
      <c r="F717" s="1">
        <v>4</v>
      </c>
      <c r="G717" s="1">
        <v>0</v>
      </c>
      <c r="H717" s="1">
        <v>0</v>
      </c>
      <c r="I717" s="1">
        <v>86033.33</v>
      </c>
      <c r="J717" s="1">
        <v>0</v>
      </c>
      <c r="K717">
        <f t="shared" si="11"/>
        <v>1</v>
      </c>
    </row>
    <row r="718" spans="1:11" x14ac:dyDescent="0.35">
      <c r="A718" s="1">
        <v>717</v>
      </c>
      <c r="B718" s="1">
        <v>20</v>
      </c>
      <c r="C718" s="1" t="s">
        <v>10</v>
      </c>
      <c r="D718" s="1">
        <v>29</v>
      </c>
      <c r="E718" s="1">
        <v>38846.400000000001</v>
      </c>
      <c r="F718" s="1">
        <v>4</v>
      </c>
      <c r="G718" s="1">
        <v>0</v>
      </c>
      <c r="H718" s="1">
        <v>1</v>
      </c>
      <c r="I718" s="1">
        <v>117543</v>
      </c>
      <c r="J718" s="1">
        <v>0</v>
      </c>
      <c r="K718">
        <f t="shared" si="11"/>
        <v>1</v>
      </c>
    </row>
    <row r="719" spans="1:11" x14ac:dyDescent="0.35">
      <c r="A719" s="1">
        <v>718</v>
      </c>
      <c r="B719" s="1">
        <v>62</v>
      </c>
      <c r="C719" s="1" t="s">
        <v>10</v>
      </c>
      <c r="D719" s="1">
        <v>38</v>
      </c>
      <c r="E719" s="1">
        <v>10249.06</v>
      </c>
      <c r="F719" s="1">
        <v>1</v>
      </c>
      <c r="G719" s="1">
        <v>0</v>
      </c>
      <c r="H719" s="1">
        <v>0</v>
      </c>
      <c r="I719" s="1">
        <v>60392.99</v>
      </c>
      <c r="J719" s="1">
        <v>0</v>
      </c>
      <c r="K719">
        <f t="shared" si="11"/>
        <v>1</v>
      </c>
    </row>
    <row r="720" spans="1:11" x14ac:dyDescent="0.35">
      <c r="A720" s="1">
        <v>719</v>
      </c>
      <c r="B720" s="1">
        <v>30</v>
      </c>
      <c r="C720" s="1" t="s">
        <v>11</v>
      </c>
      <c r="D720" s="1">
        <v>42</v>
      </c>
      <c r="E720" s="1">
        <v>36281.360000000001</v>
      </c>
      <c r="F720" s="1">
        <v>1</v>
      </c>
      <c r="G720" s="1">
        <v>0</v>
      </c>
      <c r="H720" s="1">
        <v>1</v>
      </c>
      <c r="I720" s="1">
        <v>86883.65</v>
      </c>
      <c r="J720" s="1">
        <v>0</v>
      </c>
      <c r="K720">
        <f t="shared" si="11"/>
        <v>1</v>
      </c>
    </row>
    <row r="721" spans="1:11" x14ac:dyDescent="0.35">
      <c r="A721" s="1">
        <v>720</v>
      </c>
      <c r="B721" s="1">
        <v>67</v>
      </c>
      <c r="C721" s="1" t="s">
        <v>10</v>
      </c>
      <c r="D721" s="1">
        <v>21</v>
      </c>
      <c r="E721" s="1">
        <v>30986.73</v>
      </c>
      <c r="F721" s="1">
        <v>3</v>
      </c>
      <c r="G721" s="1">
        <v>0</v>
      </c>
      <c r="H721" s="1">
        <v>0</v>
      </c>
      <c r="I721" s="1">
        <v>131388.6</v>
      </c>
      <c r="J721" s="1">
        <v>0</v>
      </c>
      <c r="K721">
        <f t="shared" si="11"/>
        <v>1</v>
      </c>
    </row>
    <row r="722" spans="1:11" x14ac:dyDescent="0.35">
      <c r="A722" s="1">
        <v>721</v>
      </c>
      <c r="B722" s="1">
        <v>45</v>
      </c>
      <c r="C722" s="1" t="s">
        <v>10</v>
      </c>
      <c r="D722" s="1">
        <v>42</v>
      </c>
      <c r="E722" s="1">
        <v>44803.76</v>
      </c>
      <c r="F722" s="1">
        <v>2</v>
      </c>
      <c r="G722" s="1">
        <v>1</v>
      </c>
      <c r="H722" s="1">
        <v>0</v>
      </c>
      <c r="I722" s="1">
        <v>80694.149999999994</v>
      </c>
      <c r="J722" s="1">
        <v>0</v>
      </c>
      <c r="K722">
        <f t="shared" si="11"/>
        <v>1</v>
      </c>
    </row>
    <row r="723" spans="1:11" x14ac:dyDescent="0.35">
      <c r="A723" s="1">
        <v>722</v>
      </c>
      <c r="B723" s="1">
        <v>37</v>
      </c>
      <c r="C723" s="1" t="s">
        <v>10</v>
      </c>
      <c r="D723" s="1">
        <v>13</v>
      </c>
      <c r="E723" s="1">
        <v>42359.72</v>
      </c>
      <c r="F723" s="1">
        <v>2</v>
      </c>
      <c r="G723" s="1">
        <v>1</v>
      </c>
      <c r="H723" s="1">
        <v>1</v>
      </c>
      <c r="I723" s="1">
        <v>66763.58</v>
      </c>
      <c r="J723" s="1">
        <v>0</v>
      </c>
      <c r="K723">
        <f t="shared" si="11"/>
        <v>1</v>
      </c>
    </row>
    <row r="724" spans="1:11" x14ac:dyDescent="0.35">
      <c r="A724" s="1">
        <v>723</v>
      </c>
      <c r="B724" s="1">
        <v>45</v>
      </c>
      <c r="C724" s="1" t="s">
        <v>10</v>
      </c>
      <c r="D724" s="1">
        <v>64</v>
      </c>
      <c r="E724" s="1">
        <v>15757.35</v>
      </c>
      <c r="F724" s="1">
        <v>1</v>
      </c>
      <c r="G724" s="1">
        <v>0</v>
      </c>
      <c r="H724" s="1">
        <v>0</v>
      </c>
      <c r="I724" s="1">
        <v>89700.2</v>
      </c>
      <c r="J724" s="1">
        <v>0</v>
      </c>
      <c r="K724">
        <f t="shared" si="11"/>
        <v>1</v>
      </c>
    </row>
    <row r="725" spans="1:11" x14ac:dyDescent="0.35">
      <c r="A725" s="1">
        <v>724</v>
      </c>
      <c r="B725" s="1">
        <v>25</v>
      </c>
      <c r="C725" s="1" t="s">
        <v>10</v>
      </c>
      <c r="D725" s="1">
        <v>17</v>
      </c>
      <c r="E725" s="1">
        <v>13811.87</v>
      </c>
      <c r="F725" s="1">
        <v>1</v>
      </c>
      <c r="G725" s="1">
        <v>1</v>
      </c>
      <c r="H725" s="1">
        <v>1</v>
      </c>
      <c r="I725" s="1">
        <v>113257.16</v>
      </c>
      <c r="J725" s="1">
        <v>0</v>
      </c>
      <c r="K725">
        <f t="shared" si="11"/>
        <v>1</v>
      </c>
    </row>
    <row r="726" spans="1:11" x14ac:dyDescent="0.35">
      <c r="A726" s="1">
        <v>725</v>
      </c>
      <c r="B726" s="1">
        <v>58</v>
      </c>
      <c r="C726" s="1" t="s">
        <v>11</v>
      </c>
      <c r="D726" s="1">
        <v>9</v>
      </c>
      <c r="E726" s="1">
        <v>49082.67</v>
      </c>
      <c r="F726" s="1">
        <v>4</v>
      </c>
      <c r="G726" s="1">
        <v>1</v>
      </c>
      <c r="H726" s="1">
        <v>1</v>
      </c>
      <c r="I726" s="1">
        <v>77663.23</v>
      </c>
      <c r="J726" s="1">
        <v>0</v>
      </c>
      <c r="K726">
        <f t="shared" si="11"/>
        <v>1</v>
      </c>
    </row>
    <row r="727" spans="1:11" x14ac:dyDescent="0.35">
      <c r="A727" s="1">
        <v>726</v>
      </c>
      <c r="B727" s="1">
        <v>56</v>
      </c>
      <c r="C727" s="1" t="s">
        <v>10</v>
      </c>
      <c r="D727" s="1">
        <v>41</v>
      </c>
      <c r="E727" s="1">
        <v>26363.26</v>
      </c>
      <c r="F727" s="1">
        <v>3</v>
      </c>
      <c r="G727" s="1">
        <v>0</v>
      </c>
      <c r="H727" s="1">
        <v>0</v>
      </c>
      <c r="I727" s="1">
        <v>142054.01</v>
      </c>
      <c r="J727" s="1">
        <v>0</v>
      </c>
      <c r="K727">
        <f t="shared" si="11"/>
        <v>1</v>
      </c>
    </row>
    <row r="728" spans="1:11" x14ac:dyDescent="0.35">
      <c r="A728" s="1">
        <v>727</v>
      </c>
      <c r="B728" s="1">
        <v>18</v>
      </c>
      <c r="C728" s="1" t="s">
        <v>10</v>
      </c>
      <c r="D728" s="1">
        <v>1</v>
      </c>
      <c r="E728" s="1">
        <v>45321.05</v>
      </c>
      <c r="F728" s="1">
        <v>3</v>
      </c>
      <c r="G728" s="1">
        <v>0</v>
      </c>
      <c r="H728" s="1">
        <v>0</v>
      </c>
      <c r="I728" s="1">
        <v>58342.96</v>
      </c>
      <c r="J728" s="1">
        <v>0</v>
      </c>
      <c r="K728">
        <f t="shared" si="11"/>
        <v>1</v>
      </c>
    </row>
    <row r="729" spans="1:11" x14ac:dyDescent="0.35">
      <c r="A729" s="1">
        <v>728</v>
      </c>
      <c r="B729" s="1">
        <v>20</v>
      </c>
      <c r="C729" s="1" t="s">
        <v>10</v>
      </c>
      <c r="D729" s="1">
        <v>2</v>
      </c>
      <c r="E729" s="1">
        <v>8194.0499999999993</v>
      </c>
      <c r="F729" s="1">
        <v>1</v>
      </c>
      <c r="G729" s="1">
        <v>1</v>
      </c>
      <c r="H729" s="1">
        <v>0</v>
      </c>
      <c r="I729" s="1">
        <v>81810.27</v>
      </c>
      <c r="J729" s="1">
        <v>1</v>
      </c>
      <c r="K729">
        <f t="shared" si="11"/>
        <v>1</v>
      </c>
    </row>
    <row r="730" spans="1:11" x14ac:dyDescent="0.35">
      <c r="A730" s="1">
        <v>729</v>
      </c>
      <c r="B730" s="1">
        <v>30</v>
      </c>
      <c r="C730" s="1" t="s">
        <v>10</v>
      </c>
      <c r="D730" s="1">
        <v>60</v>
      </c>
      <c r="E730" s="1">
        <v>32140.95</v>
      </c>
      <c r="F730" s="1">
        <v>4</v>
      </c>
      <c r="G730" s="1">
        <v>0</v>
      </c>
      <c r="H730" s="1">
        <v>0</v>
      </c>
      <c r="I730" s="1">
        <v>118400.6</v>
      </c>
      <c r="J730" s="1">
        <v>0</v>
      </c>
      <c r="K730">
        <f t="shared" si="11"/>
        <v>1</v>
      </c>
    </row>
    <row r="731" spans="1:11" x14ac:dyDescent="0.35">
      <c r="A731" s="1">
        <v>730</v>
      </c>
      <c r="B731" s="1">
        <v>45</v>
      </c>
      <c r="C731" s="1" t="s">
        <v>11</v>
      </c>
      <c r="D731" s="1">
        <v>48</v>
      </c>
      <c r="E731" s="1">
        <v>40493.01</v>
      </c>
      <c r="F731" s="1">
        <v>4</v>
      </c>
      <c r="G731" s="1">
        <v>0</v>
      </c>
      <c r="H731" s="1">
        <v>0</v>
      </c>
      <c r="I731" s="1">
        <v>109585.74</v>
      </c>
      <c r="J731" s="1">
        <v>0</v>
      </c>
      <c r="K731">
        <f t="shared" si="11"/>
        <v>1</v>
      </c>
    </row>
    <row r="732" spans="1:11" x14ac:dyDescent="0.35">
      <c r="A732" s="1">
        <v>731</v>
      </c>
      <c r="B732" s="1">
        <v>66</v>
      </c>
      <c r="C732" s="1" t="s">
        <v>11</v>
      </c>
      <c r="D732" s="1">
        <v>29</v>
      </c>
      <c r="E732" s="1">
        <v>47369.760000000002</v>
      </c>
      <c r="F732" s="1">
        <v>2</v>
      </c>
      <c r="G732" s="1">
        <v>1</v>
      </c>
      <c r="H732" s="1">
        <v>0</v>
      </c>
      <c r="I732" s="1">
        <v>132273.34</v>
      </c>
      <c r="J732" s="1">
        <v>0</v>
      </c>
      <c r="K732">
        <f t="shared" si="11"/>
        <v>1</v>
      </c>
    </row>
    <row r="733" spans="1:11" x14ac:dyDescent="0.35">
      <c r="A733" s="1">
        <v>732</v>
      </c>
      <c r="B733" s="1">
        <v>42</v>
      </c>
      <c r="C733" s="1" t="s">
        <v>11</v>
      </c>
      <c r="D733" s="1">
        <v>10</v>
      </c>
      <c r="E733" s="1">
        <v>16867.009999999998</v>
      </c>
      <c r="F733" s="1">
        <v>2</v>
      </c>
      <c r="G733" s="1">
        <v>0</v>
      </c>
      <c r="H733" s="1">
        <v>1</v>
      </c>
      <c r="I733" s="1">
        <v>149585.19</v>
      </c>
      <c r="J733" s="1">
        <v>0</v>
      </c>
      <c r="K733">
        <f t="shared" si="11"/>
        <v>1</v>
      </c>
    </row>
    <row r="734" spans="1:11" x14ac:dyDescent="0.35">
      <c r="A734" s="1">
        <v>733</v>
      </c>
      <c r="B734" s="1">
        <v>50</v>
      </c>
      <c r="C734" s="1" t="s">
        <v>11</v>
      </c>
      <c r="D734" s="1">
        <v>58</v>
      </c>
      <c r="E734" s="1">
        <v>36249.06</v>
      </c>
      <c r="F734" s="1">
        <v>4</v>
      </c>
      <c r="G734" s="1">
        <v>1</v>
      </c>
      <c r="H734" s="1">
        <v>1</v>
      </c>
      <c r="I734" s="1">
        <v>75491.58</v>
      </c>
      <c r="J734" s="1">
        <v>0</v>
      </c>
      <c r="K734">
        <f t="shared" si="11"/>
        <v>1</v>
      </c>
    </row>
    <row r="735" spans="1:11" x14ac:dyDescent="0.35">
      <c r="A735" s="1">
        <v>734</v>
      </c>
      <c r="B735" s="1">
        <v>55</v>
      </c>
      <c r="C735" s="1" t="s">
        <v>10</v>
      </c>
      <c r="D735" s="1">
        <v>60</v>
      </c>
      <c r="E735" s="1">
        <v>26940.65</v>
      </c>
      <c r="F735" s="1">
        <v>2</v>
      </c>
      <c r="G735" s="1">
        <v>1</v>
      </c>
      <c r="H735" s="1">
        <v>0</v>
      </c>
      <c r="I735" s="1">
        <v>34449.61</v>
      </c>
      <c r="J735" s="1">
        <v>0</v>
      </c>
      <c r="K735">
        <f t="shared" si="11"/>
        <v>1</v>
      </c>
    </row>
    <row r="736" spans="1:11" x14ac:dyDescent="0.35">
      <c r="A736" s="1">
        <v>735</v>
      </c>
      <c r="B736" s="1">
        <v>23</v>
      </c>
      <c r="C736" s="1" t="s">
        <v>11</v>
      </c>
      <c r="D736" s="1">
        <v>21</v>
      </c>
      <c r="E736" s="1">
        <v>3031.45</v>
      </c>
      <c r="F736" s="1">
        <v>1</v>
      </c>
      <c r="G736" s="1">
        <v>1</v>
      </c>
      <c r="H736" s="1">
        <v>1</v>
      </c>
      <c r="I736" s="1">
        <v>23954.06</v>
      </c>
      <c r="J736" s="1">
        <v>0</v>
      </c>
      <c r="K736">
        <f t="shared" si="11"/>
        <v>1</v>
      </c>
    </row>
    <row r="737" spans="1:11" x14ac:dyDescent="0.35">
      <c r="A737" s="1">
        <v>736</v>
      </c>
      <c r="B737" s="1">
        <v>61</v>
      </c>
      <c r="C737" s="1" t="s">
        <v>10</v>
      </c>
      <c r="D737" s="1">
        <v>28</v>
      </c>
      <c r="E737" s="1">
        <v>34499.99</v>
      </c>
      <c r="F737" s="1">
        <v>4</v>
      </c>
      <c r="G737" s="1">
        <v>1</v>
      </c>
      <c r="H737" s="1">
        <v>1</v>
      </c>
      <c r="I737" s="1">
        <v>114494</v>
      </c>
      <c r="J737" s="1">
        <v>0</v>
      </c>
      <c r="K737">
        <f t="shared" si="11"/>
        <v>1</v>
      </c>
    </row>
    <row r="738" spans="1:11" x14ac:dyDescent="0.35">
      <c r="A738" s="1">
        <v>737</v>
      </c>
      <c r="B738" s="1">
        <v>62</v>
      </c>
      <c r="C738" s="1" t="s">
        <v>10</v>
      </c>
      <c r="D738" s="1">
        <v>34</v>
      </c>
      <c r="E738" s="1">
        <v>34504.83</v>
      </c>
      <c r="F738" s="1">
        <v>2</v>
      </c>
      <c r="G738" s="1">
        <v>1</v>
      </c>
      <c r="H738" s="1">
        <v>0</v>
      </c>
      <c r="I738" s="1">
        <v>133621.78</v>
      </c>
      <c r="J738" s="1">
        <v>0</v>
      </c>
      <c r="K738">
        <f t="shared" si="11"/>
        <v>1</v>
      </c>
    </row>
    <row r="739" spans="1:11" x14ac:dyDescent="0.35">
      <c r="A739" s="1">
        <v>738</v>
      </c>
      <c r="B739" s="1">
        <v>49</v>
      </c>
      <c r="C739" s="1" t="s">
        <v>10</v>
      </c>
      <c r="D739" s="1">
        <v>8</v>
      </c>
      <c r="E739" s="1">
        <v>46530.34</v>
      </c>
      <c r="F739" s="1">
        <v>3</v>
      </c>
      <c r="G739" s="1">
        <v>0</v>
      </c>
      <c r="H739" s="1">
        <v>0</v>
      </c>
      <c r="I739" s="1">
        <v>48692.639999999999</v>
      </c>
      <c r="J739" s="1">
        <v>0</v>
      </c>
      <c r="K739">
        <f t="shared" si="11"/>
        <v>1</v>
      </c>
    </row>
    <row r="740" spans="1:11" x14ac:dyDescent="0.35">
      <c r="A740" s="1">
        <v>739</v>
      </c>
      <c r="B740" s="1">
        <v>62</v>
      </c>
      <c r="C740" s="1" t="s">
        <v>10</v>
      </c>
      <c r="D740" s="1">
        <v>59</v>
      </c>
      <c r="E740" s="1">
        <v>24865.62</v>
      </c>
      <c r="F740" s="1">
        <v>4</v>
      </c>
      <c r="G740" s="1">
        <v>0</v>
      </c>
      <c r="H740" s="1">
        <v>1</v>
      </c>
      <c r="I740" s="1">
        <v>40598.239999999998</v>
      </c>
      <c r="J740" s="1">
        <v>0</v>
      </c>
      <c r="K740">
        <f t="shared" si="11"/>
        <v>1</v>
      </c>
    </row>
    <row r="741" spans="1:11" x14ac:dyDescent="0.35">
      <c r="A741" s="1">
        <v>740</v>
      </c>
      <c r="B741" s="1">
        <v>64</v>
      </c>
      <c r="C741" s="1" t="s">
        <v>10</v>
      </c>
      <c r="D741" s="1">
        <v>49</v>
      </c>
      <c r="E741" s="1">
        <v>11512.55</v>
      </c>
      <c r="F741" s="1">
        <v>4</v>
      </c>
      <c r="G741" s="1">
        <v>0</v>
      </c>
      <c r="H741" s="1">
        <v>0</v>
      </c>
      <c r="I741" s="1">
        <v>28086.66</v>
      </c>
      <c r="J741" s="1">
        <v>0</v>
      </c>
      <c r="K741">
        <f t="shared" si="11"/>
        <v>1</v>
      </c>
    </row>
    <row r="742" spans="1:11" x14ac:dyDescent="0.35">
      <c r="A742" s="1">
        <v>741</v>
      </c>
      <c r="B742" s="1">
        <v>38</v>
      </c>
      <c r="C742" s="1" t="s">
        <v>11</v>
      </c>
      <c r="D742" s="1">
        <v>17</v>
      </c>
      <c r="E742" s="1">
        <v>2228.19</v>
      </c>
      <c r="F742" s="1">
        <v>3</v>
      </c>
      <c r="G742" s="1">
        <v>0</v>
      </c>
      <c r="H742" s="1">
        <v>1</v>
      </c>
      <c r="I742" s="1">
        <v>126951.38</v>
      </c>
      <c r="J742" s="1">
        <v>0</v>
      </c>
      <c r="K742">
        <f t="shared" si="11"/>
        <v>1</v>
      </c>
    </row>
    <row r="743" spans="1:11" x14ac:dyDescent="0.35">
      <c r="A743" s="1">
        <v>742</v>
      </c>
      <c r="B743" s="1">
        <v>33</v>
      </c>
      <c r="C743" s="1" t="s">
        <v>11</v>
      </c>
      <c r="D743" s="1">
        <v>60</v>
      </c>
      <c r="E743" s="1">
        <v>20782.11</v>
      </c>
      <c r="F743" s="1">
        <v>1</v>
      </c>
      <c r="G743" s="1">
        <v>1</v>
      </c>
      <c r="H743" s="1">
        <v>0</v>
      </c>
      <c r="I743" s="1">
        <v>60479.65</v>
      </c>
      <c r="J743" s="1">
        <v>0</v>
      </c>
      <c r="K743">
        <f t="shared" si="11"/>
        <v>1</v>
      </c>
    </row>
    <row r="744" spans="1:11" x14ac:dyDescent="0.35">
      <c r="A744" s="1">
        <v>743</v>
      </c>
      <c r="B744" s="1">
        <v>38</v>
      </c>
      <c r="C744" s="1" t="s">
        <v>11</v>
      </c>
      <c r="D744" s="1">
        <v>45</v>
      </c>
      <c r="E744" s="1">
        <v>15095.84</v>
      </c>
      <c r="F744" s="1">
        <v>3</v>
      </c>
      <c r="G744" s="1">
        <v>1</v>
      </c>
      <c r="H744" s="1">
        <v>1</v>
      </c>
      <c r="I744" s="1">
        <v>72220.600000000006</v>
      </c>
      <c r="J744" s="1">
        <v>0</v>
      </c>
      <c r="K744">
        <f t="shared" si="11"/>
        <v>1</v>
      </c>
    </row>
    <row r="745" spans="1:11" x14ac:dyDescent="0.35">
      <c r="A745" s="1">
        <v>744</v>
      </c>
      <c r="B745" s="1">
        <v>28</v>
      </c>
      <c r="C745" s="1" t="s">
        <v>11</v>
      </c>
      <c r="D745" s="1">
        <v>69</v>
      </c>
      <c r="E745" s="1">
        <v>38054.42</v>
      </c>
      <c r="F745" s="1">
        <v>4</v>
      </c>
      <c r="G745" s="1">
        <v>0</v>
      </c>
      <c r="H745" s="1">
        <v>1</v>
      </c>
      <c r="I745" s="1">
        <v>85357.52</v>
      </c>
      <c r="J745" s="1">
        <v>0</v>
      </c>
      <c r="K745">
        <f t="shared" si="11"/>
        <v>1</v>
      </c>
    </row>
    <row r="746" spans="1:11" x14ac:dyDescent="0.35">
      <c r="A746" s="1">
        <v>745</v>
      </c>
      <c r="B746" s="1">
        <v>54</v>
      </c>
      <c r="C746" s="1" t="s">
        <v>10</v>
      </c>
      <c r="D746" s="1">
        <v>32</v>
      </c>
      <c r="E746" s="1">
        <v>17713.39</v>
      </c>
      <c r="F746" s="1">
        <v>1</v>
      </c>
      <c r="G746" s="1">
        <v>1</v>
      </c>
      <c r="H746" s="1">
        <v>1</v>
      </c>
      <c r="I746" s="1">
        <v>129128.92</v>
      </c>
      <c r="J746" s="1">
        <v>0</v>
      </c>
      <c r="K746">
        <f t="shared" si="11"/>
        <v>1</v>
      </c>
    </row>
    <row r="747" spans="1:11" x14ac:dyDescent="0.35">
      <c r="A747" s="1">
        <v>746</v>
      </c>
      <c r="B747" s="1">
        <v>53</v>
      </c>
      <c r="C747" s="1" t="s">
        <v>11</v>
      </c>
      <c r="D747" s="1">
        <v>44</v>
      </c>
      <c r="E747" s="1">
        <v>47453.56</v>
      </c>
      <c r="F747" s="1">
        <v>2</v>
      </c>
      <c r="G747" s="1">
        <v>0</v>
      </c>
      <c r="H747" s="1">
        <v>1</v>
      </c>
      <c r="I747" s="1">
        <v>104608.32000000001</v>
      </c>
      <c r="J747" s="1">
        <v>0</v>
      </c>
      <c r="K747">
        <f t="shared" si="11"/>
        <v>1</v>
      </c>
    </row>
    <row r="748" spans="1:11" x14ac:dyDescent="0.35">
      <c r="A748" s="1">
        <v>747</v>
      </c>
      <c r="B748" s="1">
        <v>52</v>
      </c>
      <c r="C748" s="1" t="s">
        <v>10</v>
      </c>
      <c r="D748" s="1">
        <v>65</v>
      </c>
      <c r="E748" s="1">
        <v>48115.51</v>
      </c>
      <c r="F748" s="1">
        <v>2</v>
      </c>
      <c r="G748" s="1">
        <v>0</v>
      </c>
      <c r="H748" s="1">
        <v>0</v>
      </c>
      <c r="I748" s="1">
        <v>99958.399999999994</v>
      </c>
      <c r="J748" s="1">
        <v>0</v>
      </c>
      <c r="K748">
        <f t="shared" si="11"/>
        <v>1</v>
      </c>
    </row>
    <row r="749" spans="1:11" x14ac:dyDescent="0.35">
      <c r="A749" s="1">
        <v>748</v>
      </c>
      <c r="B749" s="1">
        <v>36</v>
      </c>
      <c r="C749" s="1" t="s">
        <v>11</v>
      </c>
      <c r="D749" s="1">
        <v>8</v>
      </c>
      <c r="E749" s="1">
        <v>31045.43</v>
      </c>
      <c r="F749" s="1">
        <v>2</v>
      </c>
      <c r="G749" s="1">
        <v>0</v>
      </c>
      <c r="H749" s="1">
        <v>0</v>
      </c>
      <c r="I749" s="1">
        <v>42837.37</v>
      </c>
      <c r="J749" s="1">
        <v>0</v>
      </c>
      <c r="K749">
        <f t="shared" si="11"/>
        <v>1</v>
      </c>
    </row>
    <row r="750" spans="1:11" x14ac:dyDescent="0.35">
      <c r="A750" s="1">
        <v>749</v>
      </c>
      <c r="B750" s="1">
        <v>37</v>
      </c>
      <c r="C750" s="1" t="s">
        <v>10</v>
      </c>
      <c r="D750" s="1">
        <v>43</v>
      </c>
      <c r="E750" s="1">
        <v>46433.01</v>
      </c>
      <c r="F750" s="1">
        <v>4</v>
      </c>
      <c r="G750" s="1">
        <v>1</v>
      </c>
      <c r="H750" s="1">
        <v>1</v>
      </c>
      <c r="I750" s="1">
        <v>86714.69</v>
      </c>
      <c r="J750" s="1">
        <v>0</v>
      </c>
      <c r="K750">
        <f t="shared" si="11"/>
        <v>1</v>
      </c>
    </row>
    <row r="751" spans="1:11" x14ac:dyDescent="0.35">
      <c r="A751" s="1">
        <v>750</v>
      </c>
      <c r="B751" s="1">
        <v>35</v>
      </c>
      <c r="C751" s="1" t="s">
        <v>10</v>
      </c>
      <c r="D751" s="1">
        <v>1</v>
      </c>
      <c r="E751" s="1">
        <v>38042.720000000001</v>
      </c>
      <c r="F751" s="1">
        <v>3</v>
      </c>
      <c r="G751" s="1">
        <v>1</v>
      </c>
      <c r="H751" s="1">
        <v>1</v>
      </c>
      <c r="I751" s="1">
        <v>112999.53</v>
      </c>
      <c r="J751" s="1">
        <v>0</v>
      </c>
      <c r="K751">
        <f t="shared" si="11"/>
        <v>1</v>
      </c>
    </row>
    <row r="752" spans="1:11" x14ac:dyDescent="0.35">
      <c r="A752" s="1">
        <v>751</v>
      </c>
      <c r="B752" s="1">
        <v>64</v>
      </c>
      <c r="C752" s="1" t="s">
        <v>11</v>
      </c>
      <c r="D752" s="1">
        <v>51</v>
      </c>
      <c r="E752" s="1">
        <v>27342.98</v>
      </c>
      <c r="F752" s="1">
        <v>1</v>
      </c>
      <c r="G752" s="1">
        <v>1</v>
      </c>
      <c r="H752" s="1">
        <v>0</v>
      </c>
      <c r="I752" s="1">
        <v>146523.91</v>
      </c>
      <c r="J752" s="1">
        <v>0</v>
      </c>
      <c r="K752">
        <f t="shared" si="11"/>
        <v>1</v>
      </c>
    </row>
    <row r="753" spans="1:11" x14ac:dyDescent="0.35">
      <c r="A753" s="1">
        <v>752</v>
      </c>
      <c r="B753" s="1">
        <v>58</v>
      </c>
      <c r="C753" s="1" t="s">
        <v>10</v>
      </c>
      <c r="D753" s="1">
        <v>24</v>
      </c>
      <c r="E753" s="1">
        <v>9015.4</v>
      </c>
      <c r="F753" s="1">
        <v>2</v>
      </c>
      <c r="G753" s="1">
        <v>1</v>
      </c>
      <c r="H753" s="1">
        <v>0</v>
      </c>
      <c r="I753" s="1">
        <v>46182.82</v>
      </c>
      <c r="J753" s="1">
        <v>0</v>
      </c>
      <c r="K753">
        <f t="shared" si="11"/>
        <v>1</v>
      </c>
    </row>
    <row r="754" spans="1:11" x14ac:dyDescent="0.35">
      <c r="A754" s="1">
        <v>753</v>
      </c>
      <c r="B754" s="1">
        <v>66</v>
      </c>
      <c r="C754" s="1" t="s">
        <v>10</v>
      </c>
      <c r="D754" s="1">
        <v>24</v>
      </c>
      <c r="E754" s="1">
        <v>22929.9</v>
      </c>
      <c r="F754" s="1">
        <v>1</v>
      </c>
      <c r="G754" s="1">
        <v>0</v>
      </c>
      <c r="H754" s="1">
        <v>1</v>
      </c>
      <c r="I754" s="1">
        <v>21240.639999999999</v>
      </c>
      <c r="J754" s="1">
        <v>0</v>
      </c>
      <c r="K754">
        <f t="shared" si="11"/>
        <v>1</v>
      </c>
    </row>
    <row r="755" spans="1:11" x14ac:dyDescent="0.35">
      <c r="A755" s="1">
        <v>754</v>
      </c>
      <c r="B755" s="1">
        <v>31</v>
      </c>
      <c r="C755" s="1" t="s">
        <v>11</v>
      </c>
      <c r="D755" s="1">
        <v>17</v>
      </c>
      <c r="E755" s="1">
        <v>28043.72</v>
      </c>
      <c r="F755" s="1">
        <v>4</v>
      </c>
      <c r="G755" s="1">
        <v>1</v>
      </c>
      <c r="H755" s="1">
        <v>1</v>
      </c>
      <c r="I755" s="1">
        <v>29789.19</v>
      </c>
      <c r="J755" s="1">
        <v>0</v>
      </c>
      <c r="K755">
        <f t="shared" si="11"/>
        <v>1</v>
      </c>
    </row>
    <row r="756" spans="1:11" x14ac:dyDescent="0.35">
      <c r="A756" s="1">
        <v>755</v>
      </c>
      <c r="B756" s="1">
        <v>32</v>
      </c>
      <c r="C756" s="1" t="s">
        <v>10</v>
      </c>
      <c r="D756" s="1">
        <v>5</v>
      </c>
      <c r="E756" s="1">
        <v>43198.080000000002</v>
      </c>
      <c r="F756" s="1">
        <v>2</v>
      </c>
      <c r="G756" s="1">
        <v>1</v>
      </c>
      <c r="H756" s="1">
        <v>1</v>
      </c>
      <c r="I756" s="1">
        <v>68860.820000000007</v>
      </c>
      <c r="J756" s="1">
        <v>0</v>
      </c>
      <c r="K756">
        <f t="shared" si="11"/>
        <v>1</v>
      </c>
    </row>
    <row r="757" spans="1:11" x14ac:dyDescent="0.35">
      <c r="A757" s="1">
        <v>756</v>
      </c>
      <c r="B757" s="1">
        <v>48</v>
      </c>
      <c r="C757" s="1" t="s">
        <v>11</v>
      </c>
      <c r="D757" s="1">
        <v>20</v>
      </c>
      <c r="E757" s="1">
        <v>24066.67</v>
      </c>
      <c r="F757" s="1">
        <v>4</v>
      </c>
      <c r="G757" s="1">
        <v>1</v>
      </c>
      <c r="H757" s="1">
        <v>1</v>
      </c>
      <c r="I757" s="1">
        <v>126670.8</v>
      </c>
      <c r="J757" s="1">
        <v>0</v>
      </c>
      <c r="K757">
        <f t="shared" si="11"/>
        <v>1</v>
      </c>
    </row>
    <row r="758" spans="1:11" x14ac:dyDescent="0.35">
      <c r="A758" s="1">
        <v>757</v>
      </c>
      <c r="B758" s="1">
        <v>18</v>
      </c>
      <c r="C758" s="1" t="s">
        <v>11</v>
      </c>
      <c r="D758" s="1">
        <v>21</v>
      </c>
      <c r="E758" s="1">
        <v>44883.73</v>
      </c>
      <c r="F758" s="1">
        <v>3</v>
      </c>
      <c r="G758" s="1">
        <v>0</v>
      </c>
      <c r="H758" s="1">
        <v>1</v>
      </c>
      <c r="I758" s="1">
        <v>20928.47</v>
      </c>
      <c r="J758" s="1">
        <v>0</v>
      </c>
      <c r="K758">
        <f t="shared" si="11"/>
        <v>1</v>
      </c>
    </row>
    <row r="759" spans="1:11" x14ac:dyDescent="0.35">
      <c r="A759" s="1">
        <v>758</v>
      </c>
      <c r="B759" s="1">
        <v>20</v>
      </c>
      <c r="C759" s="1" t="s">
        <v>11</v>
      </c>
      <c r="D759" s="1">
        <v>58</v>
      </c>
      <c r="E759" s="1">
        <v>33717.449999999997</v>
      </c>
      <c r="F759" s="1">
        <v>4</v>
      </c>
      <c r="G759" s="1">
        <v>0</v>
      </c>
      <c r="H759" s="1">
        <v>0</v>
      </c>
      <c r="I759" s="1">
        <v>79374.98</v>
      </c>
      <c r="J759" s="1">
        <v>0</v>
      </c>
      <c r="K759">
        <f t="shared" si="11"/>
        <v>1</v>
      </c>
    </row>
    <row r="760" spans="1:11" x14ac:dyDescent="0.35">
      <c r="A760" s="1">
        <v>759</v>
      </c>
      <c r="B760" s="1">
        <v>33</v>
      </c>
      <c r="C760" s="1" t="s">
        <v>10</v>
      </c>
      <c r="D760" s="1">
        <v>31</v>
      </c>
      <c r="E760" s="1">
        <v>6849.95</v>
      </c>
      <c r="F760" s="1">
        <v>4</v>
      </c>
      <c r="G760" s="1">
        <v>1</v>
      </c>
      <c r="H760" s="1">
        <v>1</v>
      </c>
      <c r="I760" s="1">
        <v>62799.98</v>
      </c>
      <c r="J760" s="1">
        <v>0</v>
      </c>
      <c r="K760">
        <f t="shared" si="11"/>
        <v>1</v>
      </c>
    </row>
    <row r="761" spans="1:11" x14ac:dyDescent="0.35">
      <c r="A761" s="1">
        <v>760</v>
      </c>
      <c r="B761" s="1">
        <v>40</v>
      </c>
      <c r="C761" s="1" t="s">
        <v>10</v>
      </c>
      <c r="D761" s="1">
        <v>11</v>
      </c>
      <c r="E761" s="1">
        <v>49749.07</v>
      </c>
      <c r="F761" s="1">
        <v>3</v>
      </c>
      <c r="G761" s="1">
        <v>1</v>
      </c>
      <c r="H761" s="1">
        <v>0</v>
      </c>
      <c r="I761" s="1">
        <v>26822.62</v>
      </c>
      <c r="J761" s="1">
        <v>0</v>
      </c>
      <c r="K761">
        <f t="shared" si="11"/>
        <v>1</v>
      </c>
    </row>
    <row r="762" spans="1:11" x14ac:dyDescent="0.35">
      <c r="A762" s="1">
        <v>761</v>
      </c>
      <c r="B762" s="1">
        <v>28</v>
      </c>
      <c r="C762" s="1" t="s">
        <v>10</v>
      </c>
      <c r="D762" s="1">
        <v>52</v>
      </c>
      <c r="E762" s="1">
        <v>26361.63</v>
      </c>
      <c r="F762" s="1">
        <v>1</v>
      </c>
      <c r="G762" s="1">
        <v>1</v>
      </c>
      <c r="H762" s="1">
        <v>0</v>
      </c>
      <c r="I762" s="1">
        <v>78530.720000000001</v>
      </c>
      <c r="J762" s="1">
        <v>0</v>
      </c>
      <c r="K762">
        <f t="shared" si="11"/>
        <v>1</v>
      </c>
    </row>
    <row r="763" spans="1:11" x14ac:dyDescent="0.35">
      <c r="A763" s="1">
        <v>762</v>
      </c>
      <c r="B763" s="1">
        <v>29</v>
      </c>
      <c r="C763" s="1" t="s">
        <v>11</v>
      </c>
      <c r="D763" s="1">
        <v>15</v>
      </c>
      <c r="E763" s="1">
        <v>19592.91</v>
      </c>
      <c r="F763" s="1">
        <v>3</v>
      </c>
      <c r="G763" s="1">
        <v>1</v>
      </c>
      <c r="H763" s="1">
        <v>0</v>
      </c>
      <c r="I763" s="1">
        <v>53117.33</v>
      </c>
      <c r="J763" s="1">
        <v>0</v>
      </c>
      <c r="K763">
        <f t="shared" si="11"/>
        <v>1</v>
      </c>
    </row>
    <row r="764" spans="1:11" x14ac:dyDescent="0.35">
      <c r="A764" s="1">
        <v>763</v>
      </c>
      <c r="B764" s="1">
        <v>27</v>
      </c>
      <c r="C764" s="1" t="s">
        <v>10</v>
      </c>
      <c r="D764" s="1">
        <v>7</v>
      </c>
      <c r="E764" s="1">
        <v>32955.69</v>
      </c>
      <c r="F764" s="1">
        <v>3</v>
      </c>
      <c r="G764" s="1">
        <v>0</v>
      </c>
      <c r="H764" s="1">
        <v>1</v>
      </c>
      <c r="I764" s="1">
        <v>65745.03</v>
      </c>
      <c r="J764" s="1">
        <v>0</v>
      </c>
      <c r="K764">
        <f t="shared" si="11"/>
        <v>1</v>
      </c>
    </row>
    <row r="765" spans="1:11" x14ac:dyDescent="0.35">
      <c r="A765" s="1">
        <v>764</v>
      </c>
      <c r="B765" s="1">
        <v>49</v>
      </c>
      <c r="C765" s="1" t="s">
        <v>11</v>
      </c>
      <c r="D765" s="1">
        <v>28</v>
      </c>
      <c r="E765" s="1">
        <v>5444.67</v>
      </c>
      <c r="F765" s="1">
        <v>4</v>
      </c>
      <c r="G765" s="1">
        <v>1</v>
      </c>
      <c r="H765" s="1">
        <v>0</v>
      </c>
      <c r="I765" s="1">
        <v>111729.99</v>
      </c>
      <c r="J765" s="1">
        <v>0</v>
      </c>
      <c r="K765">
        <f t="shared" si="11"/>
        <v>1</v>
      </c>
    </row>
    <row r="766" spans="1:11" x14ac:dyDescent="0.35">
      <c r="A766" s="1">
        <v>765</v>
      </c>
      <c r="B766" s="1">
        <v>33</v>
      </c>
      <c r="C766" s="1" t="s">
        <v>11</v>
      </c>
      <c r="D766" s="1">
        <v>51</v>
      </c>
      <c r="E766" s="1">
        <v>31826.93</v>
      </c>
      <c r="F766" s="1">
        <v>1</v>
      </c>
      <c r="G766" s="1">
        <v>1</v>
      </c>
      <c r="H766" s="1">
        <v>0</v>
      </c>
      <c r="I766" s="1">
        <v>87801.63</v>
      </c>
      <c r="J766" s="1">
        <v>0</v>
      </c>
      <c r="K766">
        <f t="shared" si="11"/>
        <v>1</v>
      </c>
    </row>
    <row r="767" spans="1:11" x14ac:dyDescent="0.35">
      <c r="A767" s="1">
        <v>766</v>
      </c>
      <c r="B767" s="1">
        <v>25</v>
      </c>
      <c r="C767" s="1" t="s">
        <v>10</v>
      </c>
      <c r="D767" s="1">
        <v>58</v>
      </c>
      <c r="E767" s="1">
        <v>24911.8</v>
      </c>
      <c r="F767" s="1">
        <v>2</v>
      </c>
      <c r="G767" s="1">
        <v>1</v>
      </c>
      <c r="H767" s="1">
        <v>0</v>
      </c>
      <c r="I767" s="1">
        <v>36204.17</v>
      </c>
      <c r="J767" s="1">
        <v>0</v>
      </c>
      <c r="K767">
        <f t="shared" si="11"/>
        <v>1</v>
      </c>
    </row>
    <row r="768" spans="1:11" x14ac:dyDescent="0.35">
      <c r="A768" s="1">
        <v>767</v>
      </c>
      <c r="B768" s="1">
        <v>55</v>
      </c>
      <c r="C768" s="1" t="s">
        <v>11</v>
      </c>
      <c r="D768" s="1">
        <v>5</v>
      </c>
      <c r="E768" s="1">
        <v>20333.7</v>
      </c>
      <c r="F768" s="1">
        <v>3</v>
      </c>
      <c r="G768" s="1">
        <v>0</v>
      </c>
      <c r="H768" s="1">
        <v>0</v>
      </c>
      <c r="I768" s="1">
        <v>144983.89000000001</v>
      </c>
      <c r="J768" s="1">
        <v>0</v>
      </c>
      <c r="K768">
        <f t="shared" si="11"/>
        <v>1</v>
      </c>
    </row>
    <row r="769" spans="1:11" x14ac:dyDescent="0.35">
      <c r="A769" s="1">
        <v>768</v>
      </c>
      <c r="B769" s="1">
        <v>29</v>
      </c>
      <c r="C769" s="1" t="s">
        <v>10</v>
      </c>
      <c r="D769" s="1">
        <v>5</v>
      </c>
      <c r="E769" s="1">
        <v>47651</v>
      </c>
      <c r="F769" s="1">
        <v>1</v>
      </c>
      <c r="G769" s="1">
        <v>0</v>
      </c>
      <c r="H769" s="1">
        <v>1</v>
      </c>
      <c r="I769" s="1">
        <v>102668.4</v>
      </c>
      <c r="J769" s="1">
        <v>0</v>
      </c>
      <c r="K769">
        <f t="shared" si="11"/>
        <v>1</v>
      </c>
    </row>
    <row r="770" spans="1:11" x14ac:dyDescent="0.35">
      <c r="A770" s="1">
        <v>769</v>
      </c>
      <c r="B770" s="1">
        <v>41</v>
      </c>
      <c r="C770" s="1" t="s">
        <v>10</v>
      </c>
      <c r="D770" s="1">
        <v>8</v>
      </c>
      <c r="E770" s="1">
        <v>26126.99</v>
      </c>
      <c r="F770" s="1">
        <v>3</v>
      </c>
      <c r="G770" s="1">
        <v>1</v>
      </c>
      <c r="H770" s="1">
        <v>1</v>
      </c>
      <c r="I770" s="1">
        <v>119562.9</v>
      </c>
      <c r="J770" s="1">
        <v>0</v>
      </c>
      <c r="K770">
        <f t="shared" si="11"/>
        <v>1</v>
      </c>
    </row>
    <row r="771" spans="1:11" x14ac:dyDescent="0.35">
      <c r="A771" s="1">
        <v>770</v>
      </c>
      <c r="B771" s="1">
        <v>45</v>
      </c>
      <c r="C771" s="1" t="s">
        <v>10</v>
      </c>
      <c r="D771" s="1">
        <v>64</v>
      </c>
      <c r="E771" s="1">
        <v>10955.87</v>
      </c>
      <c r="F771" s="1">
        <v>3</v>
      </c>
      <c r="G771" s="1">
        <v>1</v>
      </c>
      <c r="H771" s="1">
        <v>0</v>
      </c>
      <c r="I771" s="1">
        <v>30297.71</v>
      </c>
      <c r="J771" s="1">
        <v>0</v>
      </c>
      <c r="K771">
        <f t="shared" ref="K771:K834" si="12">COUNTIF($A$2:$A$1001,A771)</f>
        <v>1</v>
      </c>
    </row>
    <row r="772" spans="1:11" x14ac:dyDescent="0.35">
      <c r="A772" s="1">
        <v>771</v>
      </c>
      <c r="B772" s="1">
        <v>25</v>
      </c>
      <c r="C772" s="1" t="s">
        <v>10</v>
      </c>
      <c r="D772" s="1">
        <v>10</v>
      </c>
      <c r="E772" s="1">
        <v>22948.17</v>
      </c>
      <c r="F772" s="1">
        <v>3</v>
      </c>
      <c r="G772" s="1">
        <v>1</v>
      </c>
      <c r="H772" s="1">
        <v>0</v>
      </c>
      <c r="I772" s="1">
        <v>26117.59</v>
      </c>
      <c r="J772" s="1">
        <v>0</v>
      </c>
      <c r="K772">
        <f t="shared" si="12"/>
        <v>1</v>
      </c>
    </row>
    <row r="773" spans="1:11" x14ac:dyDescent="0.35">
      <c r="A773" s="1">
        <v>772</v>
      </c>
      <c r="B773" s="1">
        <v>45</v>
      </c>
      <c r="C773" s="1" t="s">
        <v>10</v>
      </c>
      <c r="D773" s="1">
        <v>38</v>
      </c>
      <c r="E773" s="1">
        <v>45969.37</v>
      </c>
      <c r="F773" s="1">
        <v>3</v>
      </c>
      <c r="G773" s="1">
        <v>1</v>
      </c>
      <c r="H773" s="1">
        <v>1</v>
      </c>
      <c r="I773" s="1">
        <v>22528.25</v>
      </c>
      <c r="J773" s="1">
        <v>0</v>
      </c>
      <c r="K773">
        <f t="shared" si="12"/>
        <v>1</v>
      </c>
    </row>
    <row r="774" spans="1:11" x14ac:dyDescent="0.35">
      <c r="A774" s="1">
        <v>773</v>
      </c>
      <c r="B774" s="1">
        <v>53</v>
      </c>
      <c r="C774" s="1" t="s">
        <v>11</v>
      </c>
      <c r="D774" s="1">
        <v>8</v>
      </c>
      <c r="E774" s="1">
        <v>8804.77</v>
      </c>
      <c r="F774" s="1">
        <v>4</v>
      </c>
      <c r="G774" s="1">
        <v>1</v>
      </c>
      <c r="H774" s="1">
        <v>1</v>
      </c>
      <c r="I774" s="1">
        <v>44543.22</v>
      </c>
      <c r="J774" s="1">
        <v>0</v>
      </c>
      <c r="K774">
        <f t="shared" si="12"/>
        <v>1</v>
      </c>
    </row>
    <row r="775" spans="1:11" x14ac:dyDescent="0.35">
      <c r="A775" s="1">
        <v>774</v>
      </c>
      <c r="B775" s="1">
        <v>43</v>
      </c>
      <c r="C775" s="1" t="s">
        <v>11</v>
      </c>
      <c r="D775" s="1">
        <v>25</v>
      </c>
      <c r="E775" s="1">
        <v>10697.85</v>
      </c>
      <c r="F775" s="1">
        <v>1</v>
      </c>
      <c r="G775" s="1">
        <v>0</v>
      </c>
      <c r="H775" s="1">
        <v>1</v>
      </c>
      <c r="I775" s="1">
        <v>73873.09</v>
      </c>
      <c r="J775" s="1">
        <v>0</v>
      </c>
      <c r="K775">
        <f t="shared" si="12"/>
        <v>1</v>
      </c>
    </row>
    <row r="776" spans="1:11" x14ac:dyDescent="0.35">
      <c r="A776" s="1">
        <v>775</v>
      </c>
      <c r="B776" s="1">
        <v>25</v>
      </c>
      <c r="C776" s="1" t="s">
        <v>11</v>
      </c>
      <c r="D776" s="1">
        <v>66</v>
      </c>
      <c r="E776" s="1">
        <v>651.48</v>
      </c>
      <c r="F776" s="1">
        <v>1</v>
      </c>
      <c r="G776" s="1">
        <v>0</v>
      </c>
      <c r="H776" s="1">
        <v>0</v>
      </c>
      <c r="I776" s="1">
        <v>141657.4</v>
      </c>
      <c r="J776" s="1">
        <v>0</v>
      </c>
      <c r="K776">
        <f t="shared" si="12"/>
        <v>1</v>
      </c>
    </row>
    <row r="777" spans="1:11" x14ac:dyDescent="0.35">
      <c r="A777" s="1">
        <v>776</v>
      </c>
      <c r="B777" s="1">
        <v>67</v>
      </c>
      <c r="C777" s="1" t="s">
        <v>10</v>
      </c>
      <c r="D777" s="1">
        <v>50</v>
      </c>
      <c r="E777" s="1">
        <v>709.5</v>
      </c>
      <c r="F777" s="1">
        <v>1</v>
      </c>
      <c r="G777" s="1">
        <v>0</v>
      </c>
      <c r="H777" s="1">
        <v>1</v>
      </c>
      <c r="I777" s="1">
        <v>79417.759999999995</v>
      </c>
      <c r="J777" s="1">
        <v>0</v>
      </c>
      <c r="K777">
        <f t="shared" si="12"/>
        <v>1</v>
      </c>
    </row>
    <row r="778" spans="1:11" x14ac:dyDescent="0.35">
      <c r="A778" s="1">
        <v>777</v>
      </c>
      <c r="B778" s="1">
        <v>45</v>
      </c>
      <c r="C778" s="1" t="s">
        <v>10</v>
      </c>
      <c r="D778" s="1">
        <v>67</v>
      </c>
      <c r="E778" s="1">
        <v>41469.58</v>
      </c>
      <c r="F778" s="1">
        <v>3</v>
      </c>
      <c r="G778" s="1">
        <v>1</v>
      </c>
      <c r="H778" s="1">
        <v>0</v>
      </c>
      <c r="I778" s="1">
        <v>57733.16</v>
      </c>
      <c r="J778" s="1">
        <v>0</v>
      </c>
      <c r="K778">
        <f t="shared" si="12"/>
        <v>1</v>
      </c>
    </row>
    <row r="779" spans="1:11" x14ac:dyDescent="0.35">
      <c r="A779" s="1">
        <v>778</v>
      </c>
      <c r="B779" s="1">
        <v>45</v>
      </c>
      <c r="C779" s="1" t="s">
        <v>10</v>
      </c>
      <c r="D779" s="1">
        <v>49</v>
      </c>
      <c r="E779" s="1">
        <v>36606.129999999997</v>
      </c>
      <c r="F779" s="1">
        <v>4</v>
      </c>
      <c r="G779" s="1">
        <v>0</v>
      </c>
      <c r="H779" s="1">
        <v>0</v>
      </c>
      <c r="I779" s="1">
        <v>93051.58</v>
      </c>
      <c r="J779" s="1">
        <v>0</v>
      </c>
      <c r="K779">
        <f t="shared" si="12"/>
        <v>1</v>
      </c>
    </row>
    <row r="780" spans="1:11" x14ac:dyDescent="0.35">
      <c r="A780" s="1">
        <v>779</v>
      </c>
      <c r="B780" s="1">
        <v>54</v>
      </c>
      <c r="C780" s="1" t="s">
        <v>11</v>
      </c>
      <c r="D780" s="1">
        <v>36</v>
      </c>
      <c r="E780" s="1">
        <v>17752.05</v>
      </c>
      <c r="F780" s="1">
        <v>3</v>
      </c>
      <c r="G780" s="1">
        <v>0</v>
      </c>
      <c r="H780" s="1">
        <v>1</v>
      </c>
      <c r="I780" s="1">
        <v>34551.5</v>
      </c>
      <c r="J780" s="1">
        <v>0</v>
      </c>
      <c r="K780">
        <f t="shared" si="12"/>
        <v>1</v>
      </c>
    </row>
    <row r="781" spans="1:11" x14ac:dyDescent="0.35">
      <c r="A781" s="1">
        <v>780</v>
      </c>
      <c r="B781" s="1">
        <v>58</v>
      </c>
      <c r="C781" s="1" t="s">
        <v>10</v>
      </c>
      <c r="D781" s="1">
        <v>68</v>
      </c>
      <c r="E781" s="1">
        <v>34915.56</v>
      </c>
      <c r="F781" s="1">
        <v>3</v>
      </c>
      <c r="G781" s="1">
        <v>0</v>
      </c>
      <c r="H781" s="1">
        <v>0</v>
      </c>
      <c r="I781" s="1">
        <v>99235.77</v>
      </c>
      <c r="J781" s="1">
        <v>0</v>
      </c>
      <c r="K781">
        <f t="shared" si="12"/>
        <v>1</v>
      </c>
    </row>
    <row r="782" spans="1:11" x14ac:dyDescent="0.35">
      <c r="A782" s="1">
        <v>781</v>
      </c>
      <c r="B782" s="1">
        <v>53</v>
      </c>
      <c r="C782" s="1" t="s">
        <v>11</v>
      </c>
      <c r="D782" s="1">
        <v>41</v>
      </c>
      <c r="E782" s="1">
        <v>19760.3</v>
      </c>
      <c r="F782" s="1">
        <v>1</v>
      </c>
      <c r="G782" s="1">
        <v>1</v>
      </c>
      <c r="H782" s="1">
        <v>1</v>
      </c>
      <c r="I782" s="1">
        <v>93896.15</v>
      </c>
      <c r="J782" s="1">
        <v>0</v>
      </c>
      <c r="K782">
        <f t="shared" si="12"/>
        <v>1</v>
      </c>
    </row>
    <row r="783" spans="1:11" x14ac:dyDescent="0.35">
      <c r="A783" s="1">
        <v>782</v>
      </c>
      <c r="B783" s="1">
        <v>44</v>
      </c>
      <c r="C783" s="1" t="s">
        <v>11</v>
      </c>
      <c r="D783" s="1">
        <v>62</v>
      </c>
      <c r="E783" s="1">
        <v>47644.84</v>
      </c>
      <c r="F783" s="1">
        <v>3</v>
      </c>
      <c r="G783" s="1">
        <v>1</v>
      </c>
      <c r="H783" s="1">
        <v>0</v>
      </c>
      <c r="I783" s="1">
        <v>122959.09</v>
      </c>
      <c r="J783" s="1">
        <v>0</v>
      </c>
      <c r="K783">
        <f t="shared" si="12"/>
        <v>1</v>
      </c>
    </row>
    <row r="784" spans="1:11" x14ac:dyDescent="0.35">
      <c r="A784" s="1">
        <v>783</v>
      </c>
      <c r="B784" s="1">
        <v>34</v>
      </c>
      <c r="C784" s="1" t="s">
        <v>10</v>
      </c>
      <c r="D784" s="1">
        <v>10</v>
      </c>
      <c r="E784" s="1">
        <v>48352.63</v>
      </c>
      <c r="F784" s="1">
        <v>2</v>
      </c>
      <c r="G784" s="1">
        <v>0</v>
      </c>
      <c r="H784" s="1">
        <v>1</v>
      </c>
      <c r="I784" s="1">
        <v>148269.39000000001</v>
      </c>
      <c r="J784" s="1">
        <v>0</v>
      </c>
      <c r="K784">
        <f t="shared" si="12"/>
        <v>1</v>
      </c>
    </row>
    <row r="785" spans="1:11" x14ac:dyDescent="0.35">
      <c r="A785" s="1">
        <v>784</v>
      </c>
      <c r="B785" s="1">
        <v>26</v>
      </c>
      <c r="C785" s="1" t="s">
        <v>10</v>
      </c>
      <c r="D785" s="1">
        <v>21</v>
      </c>
      <c r="E785" s="1">
        <v>19639.689999999999</v>
      </c>
      <c r="F785" s="1">
        <v>3</v>
      </c>
      <c r="G785" s="1">
        <v>1</v>
      </c>
      <c r="H785" s="1">
        <v>0</v>
      </c>
      <c r="I785" s="1">
        <v>52613.55</v>
      </c>
      <c r="J785" s="1">
        <v>0</v>
      </c>
      <c r="K785">
        <f t="shared" si="12"/>
        <v>1</v>
      </c>
    </row>
    <row r="786" spans="1:11" x14ac:dyDescent="0.35">
      <c r="A786" s="1">
        <v>785</v>
      </c>
      <c r="B786" s="1">
        <v>50</v>
      </c>
      <c r="C786" s="1" t="s">
        <v>11</v>
      </c>
      <c r="D786" s="1">
        <v>36</v>
      </c>
      <c r="E786" s="1">
        <v>42711.1</v>
      </c>
      <c r="F786" s="1">
        <v>2</v>
      </c>
      <c r="G786" s="1">
        <v>0</v>
      </c>
      <c r="H786" s="1">
        <v>0</v>
      </c>
      <c r="I786" s="1">
        <v>86255.34</v>
      </c>
      <c r="J786" s="1">
        <v>0</v>
      </c>
      <c r="K786">
        <f t="shared" si="12"/>
        <v>1</v>
      </c>
    </row>
    <row r="787" spans="1:11" x14ac:dyDescent="0.35">
      <c r="A787" s="1">
        <v>786</v>
      </c>
      <c r="B787" s="1">
        <v>37</v>
      </c>
      <c r="C787" s="1" t="s">
        <v>10</v>
      </c>
      <c r="D787" s="1">
        <v>12</v>
      </c>
      <c r="E787" s="1">
        <v>38654.449999999997</v>
      </c>
      <c r="F787" s="1">
        <v>3</v>
      </c>
      <c r="G787" s="1">
        <v>0</v>
      </c>
      <c r="H787" s="1">
        <v>1</v>
      </c>
      <c r="I787" s="1">
        <v>138152.5</v>
      </c>
      <c r="J787" s="1">
        <v>0</v>
      </c>
      <c r="K787">
        <f t="shared" si="12"/>
        <v>1</v>
      </c>
    </row>
    <row r="788" spans="1:11" x14ac:dyDescent="0.35">
      <c r="A788" s="1">
        <v>787</v>
      </c>
      <c r="B788" s="1">
        <v>30</v>
      </c>
      <c r="C788" s="1" t="s">
        <v>11</v>
      </c>
      <c r="D788" s="1">
        <v>2</v>
      </c>
      <c r="E788" s="1">
        <v>15500</v>
      </c>
      <c r="F788" s="1">
        <v>4</v>
      </c>
      <c r="G788" s="1">
        <v>0</v>
      </c>
      <c r="H788" s="1">
        <v>1</v>
      </c>
      <c r="I788" s="1">
        <v>122074.68</v>
      </c>
      <c r="J788" s="1">
        <v>0</v>
      </c>
      <c r="K788">
        <f t="shared" si="12"/>
        <v>1</v>
      </c>
    </row>
    <row r="789" spans="1:11" x14ac:dyDescent="0.35">
      <c r="A789" s="1">
        <v>788</v>
      </c>
      <c r="B789" s="1">
        <v>45</v>
      </c>
      <c r="C789" s="1" t="s">
        <v>10</v>
      </c>
      <c r="D789" s="1">
        <v>13</v>
      </c>
      <c r="E789" s="1">
        <v>11601.99</v>
      </c>
      <c r="F789" s="1">
        <v>4</v>
      </c>
      <c r="G789" s="1">
        <v>0</v>
      </c>
      <c r="H789" s="1">
        <v>1</v>
      </c>
      <c r="I789" s="1">
        <v>83362.820000000007</v>
      </c>
      <c r="J789" s="1">
        <v>0</v>
      </c>
      <c r="K789">
        <f t="shared" si="12"/>
        <v>1</v>
      </c>
    </row>
    <row r="790" spans="1:11" x14ac:dyDescent="0.35">
      <c r="A790" s="1">
        <v>789</v>
      </c>
      <c r="B790" s="1">
        <v>65</v>
      </c>
      <c r="C790" s="1" t="s">
        <v>10</v>
      </c>
      <c r="D790" s="1">
        <v>53</v>
      </c>
      <c r="E790" s="1">
        <v>22911.73</v>
      </c>
      <c r="F790" s="1">
        <v>1</v>
      </c>
      <c r="G790" s="1">
        <v>1</v>
      </c>
      <c r="H790" s="1">
        <v>1</v>
      </c>
      <c r="I790" s="1">
        <v>142898.31</v>
      </c>
      <c r="J790" s="1">
        <v>0</v>
      </c>
      <c r="K790">
        <f t="shared" si="12"/>
        <v>1</v>
      </c>
    </row>
    <row r="791" spans="1:11" x14ac:dyDescent="0.35">
      <c r="A791" s="1">
        <v>790</v>
      </c>
      <c r="B791" s="1">
        <v>46</v>
      </c>
      <c r="C791" s="1" t="s">
        <v>11</v>
      </c>
      <c r="D791" s="1">
        <v>32</v>
      </c>
      <c r="E791" s="1">
        <v>39067.440000000002</v>
      </c>
      <c r="F791" s="1">
        <v>3</v>
      </c>
      <c r="G791" s="1">
        <v>1</v>
      </c>
      <c r="H791" s="1">
        <v>0</v>
      </c>
      <c r="I791" s="1">
        <v>27440.77</v>
      </c>
      <c r="J791" s="1">
        <v>0</v>
      </c>
      <c r="K791">
        <f t="shared" si="12"/>
        <v>1</v>
      </c>
    </row>
    <row r="792" spans="1:11" x14ac:dyDescent="0.35">
      <c r="A792" s="1">
        <v>791</v>
      </c>
      <c r="B792" s="1">
        <v>30</v>
      </c>
      <c r="C792" s="1" t="s">
        <v>10</v>
      </c>
      <c r="D792" s="1">
        <v>16</v>
      </c>
      <c r="E792" s="1">
        <v>48008.39</v>
      </c>
      <c r="F792" s="1">
        <v>2</v>
      </c>
      <c r="G792" s="1">
        <v>1</v>
      </c>
      <c r="H792" s="1">
        <v>1</v>
      </c>
      <c r="I792" s="1">
        <v>141029.82</v>
      </c>
      <c r="J792" s="1">
        <v>0</v>
      </c>
      <c r="K792">
        <f t="shared" si="12"/>
        <v>1</v>
      </c>
    </row>
    <row r="793" spans="1:11" x14ac:dyDescent="0.35">
      <c r="A793" s="1">
        <v>792</v>
      </c>
      <c r="B793" s="1">
        <v>63</v>
      </c>
      <c r="C793" s="1" t="s">
        <v>11</v>
      </c>
      <c r="D793" s="1">
        <v>32</v>
      </c>
      <c r="E793" s="1">
        <v>38178.949999999997</v>
      </c>
      <c r="F793" s="1">
        <v>2</v>
      </c>
      <c r="G793" s="1">
        <v>1</v>
      </c>
      <c r="H793" s="1">
        <v>1</v>
      </c>
      <c r="I793" s="1">
        <v>26565.96</v>
      </c>
      <c r="J793" s="1">
        <v>0</v>
      </c>
      <c r="K793">
        <f t="shared" si="12"/>
        <v>1</v>
      </c>
    </row>
    <row r="794" spans="1:11" x14ac:dyDescent="0.35">
      <c r="A794" s="1">
        <v>793</v>
      </c>
      <c r="B794" s="1">
        <v>52</v>
      </c>
      <c r="C794" s="1" t="s">
        <v>10</v>
      </c>
      <c r="D794" s="1">
        <v>32</v>
      </c>
      <c r="E794" s="1">
        <v>42760.35</v>
      </c>
      <c r="F794" s="1">
        <v>3</v>
      </c>
      <c r="G794" s="1">
        <v>0</v>
      </c>
      <c r="H794" s="1">
        <v>0</v>
      </c>
      <c r="I794" s="1">
        <v>91149.62</v>
      </c>
      <c r="J794" s="1">
        <v>0</v>
      </c>
      <c r="K794">
        <f t="shared" si="12"/>
        <v>1</v>
      </c>
    </row>
    <row r="795" spans="1:11" x14ac:dyDescent="0.35">
      <c r="A795" s="1">
        <v>794</v>
      </c>
      <c r="B795" s="1">
        <v>23</v>
      </c>
      <c r="C795" s="1" t="s">
        <v>11</v>
      </c>
      <c r="D795" s="1">
        <v>11</v>
      </c>
      <c r="E795" s="1">
        <v>30153.22</v>
      </c>
      <c r="F795" s="1">
        <v>2</v>
      </c>
      <c r="G795" s="1">
        <v>1</v>
      </c>
      <c r="H795" s="1">
        <v>1</v>
      </c>
      <c r="I795" s="1">
        <v>135757.32</v>
      </c>
      <c r="J795" s="1">
        <v>0</v>
      </c>
      <c r="K795">
        <f t="shared" si="12"/>
        <v>1</v>
      </c>
    </row>
    <row r="796" spans="1:11" x14ac:dyDescent="0.35">
      <c r="A796" s="1">
        <v>795</v>
      </c>
      <c r="B796" s="1">
        <v>35</v>
      </c>
      <c r="C796" s="1" t="s">
        <v>11</v>
      </c>
      <c r="D796" s="1">
        <v>10</v>
      </c>
      <c r="E796" s="1">
        <v>41770.39</v>
      </c>
      <c r="F796" s="1">
        <v>4</v>
      </c>
      <c r="G796" s="1">
        <v>0</v>
      </c>
      <c r="H796" s="1">
        <v>1</v>
      </c>
      <c r="I796" s="1">
        <v>54153.72</v>
      </c>
      <c r="J796" s="1">
        <v>0</v>
      </c>
      <c r="K796">
        <f t="shared" si="12"/>
        <v>1</v>
      </c>
    </row>
    <row r="797" spans="1:11" x14ac:dyDescent="0.35">
      <c r="A797" s="1">
        <v>796</v>
      </c>
      <c r="B797" s="1">
        <v>68</v>
      </c>
      <c r="C797" s="1" t="s">
        <v>10</v>
      </c>
      <c r="D797" s="1">
        <v>15</v>
      </c>
      <c r="E797" s="1">
        <v>39221.040000000001</v>
      </c>
      <c r="F797" s="1">
        <v>2</v>
      </c>
      <c r="G797" s="1">
        <v>1</v>
      </c>
      <c r="H797" s="1">
        <v>0</v>
      </c>
      <c r="I797" s="1">
        <v>81392.3</v>
      </c>
      <c r="J797" s="1">
        <v>0</v>
      </c>
      <c r="K797">
        <f t="shared" si="12"/>
        <v>1</v>
      </c>
    </row>
    <row r="798" spans="1:11" x14ac:dyDescent="0.35">
      <c r="A798" s="1">
        <v>797</v>
      </c>
      <c r="B798" s="1">
        <v>22</v>
      </c>
      <c r="C798" s="1" t="s">
        <v>11</v>
      </c>
      <c r="D798" s="1">
        <v>17</v>
      </c>
      <c r="E798" s="1">
        <v>18849.28</v>
      </c>
      <c r="F798" s="1">
        <v>1</v>
      </c>
      <c r="G798" s="1">
        <v>1</v>
      </c>
      <c r="H798" s="1">
        <v>1</v>
      </c>
      <c r="I798" s="1">
        <v>62162.75</v>
      </c>
      <c r="J798" s="1">
        <v>0</v>
      </c>
      <c r="K798">
        <f t="shared" si="12"/>
        <v>1</v>
      </c>
    </row>
    <row r="799" spans="1:11" x14ac:dyDescent="0.35">
      <c r="A799" s="1">
        <v>798</v>
      </c>
      <c r="B799" s="1">
        <v>64</v>
      </c>
      <c r="C799" s="1" t="s">
        <v>10</v>
      </c>
      <c r="D799" s="1">
        <v>40</v>
      </c>
      <c r="E799" s="1">
        <v>27599.52</v>
      </c>
      <c r="F799" s="1">
        <v>4</v>
      </c>
      <c r="G799" s="1">
        <v>1</v>
      </c>
      <c r="H799" s="1">
        <v>1</v>
      </c>
      <c r="I799" s="1">
        <v>143778.71</v>
      </c>
      <c r="J799" s="1">
        <v>0</v>
      </c>
      <c r="K799">
        <f t="shared" si="12"/>
        <v>1</v>
      </c>
    </row>
    <row r="800" spans="1:11" x14ac:dyDescent="0.35">
      <c r="A800" s="1">
        <v>799</v>
      </c>
      <c r="B800" s="1">
        <v>42</v>
      </c>
      <c r="C800" s="1" t="s">
        <v>10</v>
      </c>
      <c r="D800" s="1">
        <v>18</v>
      </c>
      <c r="E800" s="1">
        <v>40237.660000000003</v>
      </c>
      <c r="F800" s="1">
        <v>4</v>
      </c>
      <c r="G800" s="1">
        <v>0</v>
      </c>
      <c r="H800" s="1">
        <v>1</v>
      </c>
      <c r="I800" s="1">
        <v>127073.93</v>
      </c>
      <c r="J800" s="1">
        <v>0</v>
      </c>
      <c r="K800">
        <f t="shared" si="12"/>
        <v>1</v>
      </c>
    </row>
    <row r="801" spans="1:11" x14ac:dyDescent="0.35">
      <c r="A801" s="1">
        <v>800</v>
      </c>
      <c r="B801" s="1">
        <v>19</v>
      </c>
      <c r="C801" s="1" t="s">
        <v>10</v>
      </c>
      <c r="D801" s="1">
        <v>55</v>
      </c>
      <c r="E801" s="1">
        <v>2302.84</v>
      </c>
      <c r="F801" s="1">
        <v>4</v>
      </c>
      <c r="G801" s="1">
        <v>0</v>
      </c>
      <c r="H801" s="1">
        <v>1</v>
      </c>
      <c r="I801" s="1">
        <v>112170.2</v>
      </c>
      <c r="J801" s="1">
        <v>0</v>
      </c>
      <c r="K801">
        <f t="shared" si="12"/>
        <v>1</v>
      </c>
    </row>
    <row r="802" spans="1:11" x14ac:dyDescent="0.35">
      <c r="A802" s="1">
        <v>801</v>
      </c>
      <c r="B802" s="1">
        <v>27</v>
      </c>
      <c r="C802" s="1" t="s">
        <v>11</v>
      </c>
      <c r="D802" s="1">
        <v>25</v>
      </c>
      <c r="E802" s="1">
        <v>40403.96</v>
      </c>
      <c r="F802" s="1">
        <v>3</v>
      </c>
      <c r="G802" s="1">
        <v>0</v>
      </c>
      <c r="H802" s="1">
        <v>1</v>
      </c>
      <c r="I802" s="1">
        <v>96391.51</v>
      </c>
      <c r="J802" s="1">
        <v>0</v>
      </c>
      <c r="K802">
        <f t="shared" si="12"/>
        <v>1</v>
      </c>
    </row>
    <row r="803" spans="1:11" x14ac:dyDescent="0.35">
      <c r="A803" s="1">
        <v>802</v>
      </c>
      <c r="B803" s="1">
        <v>47</v>
      </c>
      <c r="C803" s="1" t="s">
        <v>11</v>
      </c>
      <c r="D803" s="1">
        <v>59</v>
      </c>
      <c r="E803" s="1">
        <v>8894.41</v>
      </c>
      <c r="F803" s="1">
        <v>3</v>
      </c>
      <c r="G803" s="1">
        <v>0</v>
      </c>
      <c r="H803" s="1">
        <v>1</v>
      </c>
      <c r="I803" s="1">
        <v>126676.93</v>
      </c>
      <c r="J803" s="1">
        <v>0</v>
      </c>
      <c r="K803">
        <f t="shared" si="12"/>
        <v>1</v>
      </c>
    </row>
    <row r="804" spans="1:11" x14ac:dyDescent="0.35">
      <c r="A804" s="1">
        <v>803</v>
      </c>
      <c r="B804" s="1">
        <v>67</v>
      </c>
      <c r="C804" s="1" t="s">
        <v>10</v>
      </c>
      <c r="D804" s="1">
        <v>22</v>
      </c>
      <c r="E804" s="1">
        <v>25734.18</v>
      </c>
      <c r="F804" s="1">
        <v>4</v>
      </c>
      <c r="G804" s="1">
        <v>1</v>
      </c>
      <c r="H804" s="1">
        <v>0</v>
      </c>
      <c r="I804" s="1">
        <v>70994.720000000001</v>
      </c>
      <c r="J804" s="1">
        <v>0</v>
      </c>
      <c r="K804">
        <f t="shared" si="12"/>
        <v>1</v>
      </c>
    </row>
    <row r="805" spans="1:11" x14ac:dyDescent="0.35">
      <c r="A805" s="1">
        <v>804</v>
      </c>
      <c r="B805" s="1">
        <v>62</v>
      </c>
      <c r="C805" s="1" t="s">
        <v>10</v>
      </c>
      <c r="D805" s="1">
        <v>30</v>
      </c>
      <c r="E805" s="1">
        <v>40413.769999999997</v>
      </c>
      <c r="F805" s="1">
        <v>3</v>
      </c>
      <c r="G805" s="1">
        <v>0</v>
      </c>
      <c r="H805" s="1">
        <v>1</v>
      </c>
      <c r="I805" s="1">
        <v>78181.740000000005</v>
      </c>
      <c r="J805" s="1">
        <v>0</v>
      </c>
      <c r="K805">
        <f t="shared" si="12"/>
        <v>1</v>
      </c>
    </row>
    <row r="806" spans="1:11" x14ac:dyDescent="0.35">
      <c r="A806" s="1">
        <v>805</v>
      </c>
      <c r="B806" s="1">
        <v>22</v>
      </c>
      <c r="C806" s="1" t="s">
        <v>11</v>
      </c>
      <c r="D806" s="1">
        <v>44</v>
      </c>
      <c r="E806" s="1">
        <v>12691.05</v>
      </c>
      <c r="F806" s="1">
        <v>2</v>
      </c>
      <c r="G806" s="1">
        <v>0</v>
      </c>
      <c r="H806" s="1">
        <v>0</v>
      </c>
      <c r="I806" s="1">
        <v>114900.22</v>
      </c>
      <c r="J806" s="1">
        <v>0</v>
      </c>
      <c r="K806">
        <f t="shared" si="12"/>
        <v>1</v>
      </c>
    </row>
    <row r="807" spans="1:11" x14ac:dyDescent="0.35">
      <c r="A807" s="1">
        <v>806</v>
      </c>
      <c r="B807" s="1">
        <v>50</v>
      </c>
      <c r="C807" s="1" t="s">
        <v>10</v>
      </c>
      <c r="D807" s="1">
        <v>32</v>
      </c>
      <c r="E807" s="1">
        <v>12290.37</v>
      </c>
      <c r="F807" s="1">
        <v>3</v>
      </c>
      <c r="G807" s="1">
        <v>1</v>
      </c>
      <c r="H807" s="1">
        <v>0</v>
      </c>
      <c r="I807" s="1">
        <v>66508.12</v>
      </c>
      <c r="J807" s="1">
        <v>0</v>
      </c>
      <c r="K807">
        <f t="shared" si="12"/>
        <v>1</v>
      </c>
    </row>
    <row r="808" spans="1:11" x14ac:dyDescent="0.35">
      <c r="A808" s="1">
        <v>807</v>
      </c>
      <c r="B808" s="1">
        <v>18</v>
      </c>
      <c r="C808" s="1" t="s">
        <v>10</v>
      </c>
      <c r="D808" s="1">
        <v>51</v>
      </c>
      <c r="E808" s="1">
        <v>20138.22</v>
      </c>
      <c r="F808" s="1">
        <v>3</v>
      </c>
      <c r="G808" s="1">
        <v>1</v>
      </c>
      <c r="H808" s="1">
        <v>0</v>
      </c>
      <c r="I808" s="1">
        <v>28307.119999999999</v>
      </c>
      <c r="J808" s="1">
        <v>0</v>
      </c>
      <c r="K808">
        <f t="shared" si="12"/>
        <v>1</v>
      </c>
    </row>
    <row r="809" spans="1:11" x14ac:dyDescent="0.35">
      <c r="A809" s="1">
        <v>808</v>
      </c>
      <c r="B809" s="1">
        <v>35</v>
      </c>
      <c r="C809" s="1" t="s">
        <v>11</v>
      </c>
      <c r="D809" s="1">
        <v>46</v>
      </c>
      <c r="E809" s="1">
        <v>44732.14</v>
      </c>
      <c r="F809" s="1">
        <v>4</v>
      </c>
      <c r="G809" s="1">
        <v>0</v>
      </c>
      <c r="H809" s="1">
        <v>0</v>
      </c>
      <c r="I809" s="1">
        <v>29663.5</v>
      </c>
      <c r="J809" s="1">
        <v>0</v>
      </c>
      <c r="K809">
        <f t="shared" si="12"/>
        <v>1</v>
      </c>
    </row>
    <row r="810" spans="1:11" x14ac:dyDescent="0.35">
      <c r="A810" s="1">
        <v>809</v>
      </c>
      <c r="B810" s="1">
        <v>49</v>
      </c>
      <c r="C810" s="1" t="s">
        <v>10</v>
      </c>
      <c r="D810" s="1">
        <v>21</v>
      </c>
      <c r="E810" s="1">
        <v>22.14</v>
      </c>
      <c r="F810" s="1">
        <v>1</v>
      </c>
      <c r="G810" s="1">
        <v>1</v>
      </c>
      <c r="H810" s="1">
        <v>1</v>
      </c>
      <c r="I810" s="1">
        <v>34997.160000000003</v>
      </c>
      <c r="J810" s="1">
        <v>0</v>
      </c>
      <c r="K810">
        <f t="shared" si="12"/>
        <v>1</v>
      </c>
    </row>
    <row r="811" spans="1:11" x14ac:dyDescent="0.35">
      <c r="A811" s="1">
        <v>810</v>
      </c>
      <c r="B811" s="1">
        <v>64</v>
      </c>
      <c r="C811" s="1" t="s">
        <v>11</v>
      </c>
      <c r="D811" s="1">
        <v>32</v>
      </c>
      <c r="E811" s="1">
        <v>45069.15</v>
      </c>
      <c r="F811" s="1">
        <v>1</v>
      </c>
      <c r="G811" s="1">
        <v>0</v>
      </c>
      <c r="H811" s="1">
        <v>1</v>
      </c>
      <c r="I811" s="1">
        <v>133058.57</v>
      </c>
      <c r="J811" s="1">
        <v>0</v>
      </c>
      <c r="K811">
        <f t="shared" si="12"/>
        <v>1</v>
      </c>
    </row>
    <row r="812" spans="1:11" x14ac:dyDescent="0.35">
      <c r="A812" s="1">
        <v>811</v>
      </c>
      <c r="B812" s="1">
        <v>66</v>
      </c>
      <c r="C812" s="1" t="s">
        <v>10</v>
      </c>
      <c r="D812" s="1">
        <v>39</v>
      </c>
      <c r="E812" s="1">
        <v>7690.35</v>
      </c>
      <c r="F812" s="1">
        <v>1</v>
      </c>
      <c r="G812" s="1">
        <v>1</v>
      </c>
      <c r="H812" s="1">
        <v>1</v>
      </c>
      <c r="I812" s="1">
        <v>81389.440000000002</v>
      </c>
      <c r="J812" s="1">
        <v>0</v>
      </c>
      <c r="K812">
        <f t="shared" si="12"/>
        <v>1</v>
      </c>
    </row>
    <row r="813" spans="1:11" x14ac:dyDescent="0.35">
      <c r="A813" s="1">
        <v>812</v>
      </c>
      <c r="B813" s="1">
        <v>28</v>
      </c>
      <c r="C813" s="1" t="s">
        <v>11</v>
      </c>
      <c r="D813" s="1">
        <v>12</v>
      </c>
      <c r="E813" s="1">
        <v>49504.32</v>
      </c>
      <c r="F813" s="1">
        <v>2</v>
      </c>
      <c r="G813" s="1">
        <v>0</v>
      </c>
      <c r="H813" s="1">
        <v>0</v>
      </c>
      <c r="I813" s="1">
        <v>112674.71</v>
      </c>
      <c r="J813" s="1">
        <v>0</v>
      </c>
      <c r="K813">
        <f t="shared" si="12"/>
        <v>1</v>
      </c>
    </row>
    <row r="814" spans="1:11" x14ac:dyDescent="0.35">
      <c r="A814" s="1">
        <v>813</v>
      </c>
      <c r="B814" s="1">
        <v>38</v>
      </c>
      <c r="C814" s="1" t="s">
        <v>10</v>
      </c>
      <c r="D814" s="1">
        <v>47</v>
      </c>
      <c r="E814" s="1">
        <v>47742.35</v>
      </c>
      <c r="F814" s="1">
        <v>3</v>
      </c>
      <c r="G814" s="1">
        <v>0</v>
      </c>
      <c r="H814" s="1">
        <v>1</v>
      </c>
      <c r="I814" s="1">
        <v>71078.210000000006</v>
      </c>
      <c r="J814" s="1">
        <v>0</v>
      </c>
      <c r="K814">
        <f t="shared" si="12"/>
        <v>1</v>
      </c>
    </row>
    <row r="815" spans="1:11" x14ac:dyDescent="0.35">
      <c r="A815" s="1">
        <v>814</v>
      </c>
      <c r="B815" s="1">
        <v>43</v>
      </c>
      <c r="C815" s="1" t="s">
        <v>10</v>
      </c>
      <c r="D815" s="1">
        <v>18</v>
      </c>
      <c r="E815" s="1">
        <v>24733.759999999998</v>
      </c>
      <c r="F815" s="1">
        <v>1</v>
      </c>
      <c r="G815" s="1">
        <v>0</v>
      </c>
      <c r="H815" s="1">
        <v>1</v>
      </c>
      <c r="I815" s="1">
        <v>53632.42</v>
      </c>
      <c r="J815" s="1">
        <v>0</v>
      </c>
      <c r="K815">
        <f t="shared" si="12"/>
        <v>1</v>
      </c>
    </row>
    <row r="816" spans="1:11" x14ac:dyDescent="0.35">
      <c r="A816" s="1">
        <v>815</v>
      </c>
      <c r="B816" s="1">
        <v>42</v>
      </c>
      <c r="C816" s="1" t="s">
        <v>11</v>
      </c>
      <c r="D816" s="1">
        <v>21</v>
      </c>
      <c r="E816" s="1">
        <v>25636.01</v>
      </c>
      <c r="F816" s="1">
        <v>4</v>
      </c>
      <c r="G816" s="1">
        <v>0</v>
      </c>
      <c r="H816" s="1">
        <v>1</v>
      </c>
      <c r="I816" s="1">
        <v>65134.98</v>
      </c>
      <c r="J816" s="1">
        <v>0</v>
      </c>
      <c r="K816">
        <f t="shared" si="12"/>
        <v>1</v>
      </c>
    </row>
    <row r="817" spans="1:11" x14ac:dyDescent="0.35">
      <c r="A817" s="1">
        <v>816</v>
      </c>
      <c r="B817" s="1">
        <v>39</v>
      </c>
      <c r="C817" s="1" t="s">
        <v>10</v>
      </c>
      <c r="D817" s="1">
        <v>13</v>
      </c>
      <c r="E817" s="1">
        <v>24077.47</v>
      </c>
      <c r="F817" s="1">
        <v>1</v>
      </c>
      <c r="G817" s="1">
        <v>0</v>
      </c>
      <c r="H817" s="1">
        <v>0</v>
      </c>
      <c r="I817" s="1">
        <v>123243.7</v>
      </c>
      <c r="J817" s="1">
        <v>0</v>
      </c>
      <c r="K817">
        <f t="shared" si="12"/>
        <v>1</v>
      </c>
    </row>
    <row r="818" spans="1:11" x14ac:dyDescent="0.35">
      <c r="A818" s="1">
        <v>817</v>
      </c>
      <c r="B818" s="1">
        <v>44</v>
      </c>
      <c r="C818" s="1" t="s">
        <v>11</v>
      </c>
      <c r="D818" s="1">
        <v>21</v>
      </c>
      <c r="E818" s="1">
        <v>31772.18</v>
      </c>
      <c r="F818" s="1">
        <v>1</v>
      </c>
      <c r="G818" s="1">
        <v>1</v>
      </c>
      <c r="H818" s="1">
        <v>0</v>
      </c>
      <c r="I818" s="1">
        <v>101278.1</v>
      </c>
      <c r="J818" s="1">
        <v>0</v>
      </c>
      <c r="K818">
        <f t="shared" si="12"/>
        <v>1</v>
      </c>
    </row>
    <row r="819" spans="1:11" x14ac:dyDescent="0.35">
      <c r="A819" s="1">
        <v>818</v>
      </c>
      <c r="B819" s="1">
        <v>66</v>
      </c>
      <c r="C819" s="1" t="s">
        <v>10</v>
      </c>
      <c r="D819" s="1">
        <v>8</v>
      </c>
      <c r="E819" s="1">
        <v>4536.09</v>
      </c>
      <c r="F819" s="1">
        <v>3</v>
      </c>
      <c r="G819" s="1">
        <v>0</v>
      </c>
      <c r="H819" s="1">
        <v>1</v>
      </c>
      <c r="I819" s="1">
        <v>141893.17000000001</v>
      </c>
      <c r="J819" s="1">
        <v>0</v>
      </c>
      <c r="K819">
        <f t="shared" si="12"/>
        <v>1</v>
      </c>
    </row>
    <row r="820" spans="1:11" x14ac:dyDescent="0.35">
      <c r="A820" s="1">
        <v>819</v>
      </c>
      <c r="B820" s="1">
        <v>30</v>
      </c>
      <c r="C820" s="1" t="s">
        <v>11</v>
      </c>
      <c r="D820" s="1">
        <v>46</v>
      </c>
      <c r="E820" s="1">
        <v>1630.9</v>
      </c>
      <c r="F820" s="1">
        <v>3</v>
      </c>
      <c r="G820" s="1">
        <v>0</v>
      </c>
      <c r="H820" s="1">
        <v>0</v>
      </c>
      <c r="I820" s="1">
        <v>108361.62</v>
      </c>
      <c r="J820" s="1">
        <v>0</v>
      </c>
      <c r="K820">
        <f t="shared" si="12"/>
        <v>1</v>
      </c>
    </row>
    <row r="821" spans="1:11" x14ac:dyDescent="0.35">
      <c r="A821" s="1">
        <v>820</v>
      </c>
      <c r="B821" s="1">
        <v>50</v>
      </c>
      <c r="C821" s="1" t="s">
        <v>11</v>
      </c>
      <c r="D821" s="1">
        <v>7</v>
      </c>
      <c r="E821" s="1">
        <v>2885.15</v>
      </c>
      <c r="F821" s="1">
        <v>3</v>
      </c>
      <c r="G821" s="1">
        <v>0</v>
      </c>
      <c r="H821" s="1">
        <v>0</v>
      </c>
      <c r="I821" s="1">
        <v>94123.61</v>
      </c>
      <c r="J821" s="1">
        <v>1</v>
      </c>
      <c r="K821">
        <f t="shared" si="12"/>
        <v>1</v>
      </c>
    </row>
    <row r="822" spans="1:11" x14ac:dyDescent="0.35">
      <c r="A822" s="1">
        <v>821</v>
      </c>
      <c r="B822" s="1">
        <v>51</v>
      </c>
      <c r="C822" s="1" t="s">
        <v>11</v>
      </c>
      <c r="D822" s="1">
        <v>23</v>
      </c>
      <c r="E822" s="1">
        <v>22218.27</v>
      </c>
      <c r="F822" s="1">
        <v>2</v>
      </c>
      <c r="G822" s="1">
        <v>0</v>
      </c>
      <c r="H822" s="1">
        <v>1</v>
      </c>
      <c r="I822" s="1">
        <v>99325.48</v>
      </c>
      <c r="J822" s="1">
        <v>0</v>
      </c>
      <c r="K822">
        <f t="shared" si="12"/>
        <v>1</v>
      </c>
    </row>
    <row r="823" spans="1:11" x14ac:dyDescent="0.35">
      <c r="A823" s="1">
        <v>822</v>
      </c>
      <c r="B823" s="1">
        <v>58</v>
      </c>
      <c r="C823" s="1" t="s">
        <v>11</v>
      </c>
      <c r="D823" s="1">
        <v>22</v>
      </c>
      <c r="E823" s="1">
        <v>13777.4</v>
      </c>
      <c r="F823" s="1">
        <v>2</v>
      </c>
      <c r="G823" s="1">
        <v>0</v>
      </c>
      <c r="H823" s="1">
        <v>0</v>
      </c>
      <c r="I823" s="1">
        <v>142508.29</v>
      </c>
      <c r="J823" s="1">
        <v>0</v>
      </c>
      <c r="K823">
        <f t="shared" si="12"/>
        <v>1</v>
      </c>
    </row>
    <row r="824" spans="1:11" x14ac:dyDescent="0.35">
      <c r="A824" s="1">
        <v>823</v>
      </c>
      <c r="B824" s="1">
        <v>52</v>
      </c>
      <c r="C824" s="1" t="s">
        <v>10</v>
      </c>
      <c r="D824" s="1">
        <v>22</v>
      </c>
      <c r="E824" s="1">
        <v>31101.98</v>
      </c>
      <c r="F824" s="1">
        <v>1</v>
      </c>
      <c r="G824" s="1">
        <v>1</v>
      </c>
      <c r="H824" s="1">
        <v>0</v>
      </c>
      <c r="I824" s="1">
        <v>122466.12</v>
      </c>
      <c r="J824" s="1">
        <v>0</v>
      </c>
      <c r="K824">
        <f t="shared" si="12"/>
        <v>1</v>
      </c>
    </row>
    <row r="825" spans="1:11" x14ac:dyDescent="0.35">
      <c r="A825" s="1">
        <v>824</v>
      </c>
      <c r="B825" s="1">
        <v>18</v>
      </c>
      <c r="C825" s="1" t="s">
        <v>10</v>
      </c>
      <c r="D825" s="1">
        <v>29</v>
      </c>
      <c r="E825" s="1">
        <v>49622.11</v>
      </c>
      <c r="F825" s="1">
        <v>3</v>
      </c>
      <c r="G825" s="1">
        <v>1</v>
      </c>
      <c r="H825" s="1">
        <v>1</v>
      </c>
      <c r="I825" s="1">
        <v>23125.360000000001</v>
      </c>
      <c r="J825" s="1">
        <v>0</v>
      </c>
      <c r="K825">
        <f t="shared" si="12"/>
        <v>1</v>
      </c>
    </row>
    <row r="826" spans="1:11" x14ac:dyDescent="0.35">
      <c r="A826" s="1">
        <v>825</v>
      </c>
      <c r="B826" s="1">
        <v>38</v>
      </c>
      <c r="C826" s="1" t="s">
        <v>11</v>
      </c>
      <c r="D826" s="1">
        <v>13</v>
      </c>
      <c r="E826" s="1">
        <v>19316.16</v>
      </c>
      <c r="F826" s="1">
        <v>1</v>
      </c>
      <c r="G826" s="1">
        <v>0</v>
      </c>
      <c r="H826" s="1">
        <v>0</v>
      </c>
      <c r="I826" s="1">
        <v>89438.16</v>
      </c>
      <c r="J826" s="1">
        <v>0</v>
      </c>
      <c r="K826">
        <f t="shared" si="12"/>
        <v>1</v>
      </c>
    </row>
    <row r="827" spans="1:11" x14ac:dyDescent="0.35">
      <c r="A827" s="1">
        <v>826</v>
      </c>
      <c r="B827" s="1">
        <v>65</v>
      </c>
      <c r="C827" s="1" t="s">
        <v>11</v>
      </c>
      <c r="D827" s="1">
        <v>2</v>
      </c>
      <c r="E827" s="1">
        <v>28692.06</v>
      </c>
      <c r="F827" s="1">
        <v>4</v>
      </c>
      <c r="G827" s="1">
        <v>1</v>
      </c>
      <c r="H827" s="1">
        <v>0</v>
      </c>
      <c r="I827" s="1">
        <v>109483.99</v>
      </c>
      <c r="J827" s="1">
        <v>0</v>
      </c>
      <c r="K827">
        <f t="shared" si="12"/>
        <v>1</v>
      </c>
    </row>
    <row r="828" spans="1:11" x14ac:dyDescent="0.35">
      <c r="A828" s="1">
        <v>827</v>
      </c>
      <c r="B828" s="1">
        <v>23</v>
      </c>
      <c r="C828" s="1" t="s">
        <v>11</v>
      </c>
      <c r="D828" s="1">
        <v>29</v>
      </c>
      <c r="E828" s="1">
        <v>20780.189999999999</v>
      </c>
      <c r="F828" s="1">
        <v>4</v>
      </c>
      <c r="G828" s="1">
        <v>0</v>
      </c>
      <c r="H828" s="1">
        <v>0</v>
      </c>
      <c r="I828" s="1">
        <v>117330.8</v>
      </c>
      <c r="J828" s="1">
        <v>0</v>
      </c>
      <c r="K828">
        <f t="shared" si="12"/>
        <v>1</v>
      </c>
    </row>
    <row r="829" spans="1:11" x14ac:dyDescent="0.35">
      <c r="A829" s="1">
        <v>828</v>
      </c>
      <c r="B829" s="1">
        <v>45</v>
      </c>
      <c r="C829" s="1" t="s">
        <v>10</v>
      </c>
      <c r="D829" s="1">
        <v>52</v>
      </c>
      <c r="E829" s="1">
        <v>42363.58</v>
      </c>
      <c r="F829" s="1">
        <v>3</v>
      </c>
      <c r="G829" s="1">
        <v>1</v>
      </c>
      <c r="H829" s="1">
        <v>0</v>
      </c>
      <c r="I829" s="1">
        <v>47708.480000000003</v>
      </c>
      <c r="J829" s="1">
        <v>0</v>
      </c>
      <c r="K829">
        <f t="shared" si="12"/>
        <v>1</v>
      </c>
    </row>
    <row r="830" spans="1:11" x14ac:dyDescent="0.35">
      <c r="A830" s="1">
        <v>829</v>
      </c>
      <c r="B830" s="1">
        <v>34</v>
      </c>
      <c r="C830" s="1" t="s">
        <v>10</v>
      </c>
      <c r="D830" s="1">
        <v>27</v>
      </c>
      <c r="E830" s="1">
        <v>45111.82</v>
      </c>
      <c r="F830" s="1">
        <v>3</v>
      </c>
      <c r="G830" s="1">
        <v>1</v>
      </c>
      <c r="H830" s="1">
        <v>0</v>
      </c>
      <c r="I830" s="1">
        <v>132733.06</v>
      </c>
      <c r="J830" s="1">
        <v>0</v>
      </c>
      <c r="K830">
        <f t="shared" si="12"/>
        <v>1</v>
      </c>
    </row>
    <row r="831" spans="1:11" x14ac:dyDescent="0.35">
      <c r="A831" s="1">
        <v>830</v>
      </c>
      <c r="B831" s="1">
        <v>22</v>
      </c>
      <c r="C831" s="1" t="s">
        <v>10</v>
      </c>
      <c r="D831" s="1">
        <v>50</v>
      </c>
      <c r="E831" s="1">
        <v>43867.78</v>
      </c>
      <c r="F831" s="1">
        <v>4</v>
      </c>
      <c r="G831" s="1">
        <v>0</v>
      </c>
      <c r="H831" s="1">
        <v>0</v>
      </c>
      <c r="I831" s="1">
        <v>144259.60999999999</v>
      </c>
      <c r="J831" s="1">
        <v>0</v>
      </c>
      <c r="K831">
        <f t="shared" si="12"/>
        <v>1</v>
      </c>
    </row>
    <row r="832" spans="1:11" x14ac:dyDescent="0.35">
      <c r="A832" s="1">
        <v>831</v>
      </c>
      <c r="B832" s="1">
        <v>48</v>
      </c>
      <c r="C832" s="1" t="s">
        <v>10</v>
      </c>
      <c r="D832" s="1">
        <v>23</v>
      </c>
      <c r="E832" s="1">
        <v>48718.61</v>
      </c>
      <c r="F832" s="1">
        <v>3</v>
      </c>
      <c r="G832" s="1">
        <v>1</v>
      </c>
      <c r="H832" s="1">
        <v>0</v>
      </c>
      <c r="I832" s="1">
        <v>50772.99</v>
      </c>
      <c r="J832" s="1">
        <v>0</v>
      </c>
      <c r="K832">
        <f t="shared" si="12"/>
        <v>1</v>
      </c>
    </row>
    <row r="833" spans="1:11" x14ac:dyDescent="0.35">
      <c r="A833" s="1">
        <v>832</v>
      </c>
      <c r="B833" s="1">
        <v>22</v>
      </c>
      <c r="C833" s="1" t="s">
        <v>11</v>
      </c>
      <c r="D833" s="1">
        <v>44</v>
      </c>
      <c r="E833" s="1">
        <v>1375.96</v>
      </c>
      <c r="F833" s="1">
        <v>2</v>
      </c>
      <c r="G833" s="1">
        <v>1</v>
      </c>
      <c r="H833" s="1">
        <v>0</v>
      </c>
      <c r="I833" s="1">
        <v>134740.01</v>
      </c>
      <c r="J833" s="1">
        <v>0</v>
      </c>
      <c r="K833">
        <f t="shared" si="12"/>
        <v>1</v>
      </c>
    </row>
    <row r="834" spans="1:11" x14ac:dyDescent="0.35">
      <c r="A834" s="1">
        <v>833</v>
      </c>
      <c r="B834" s="1">
        <v>55</v>
      </c>
      <c r="C834" s="1" t="s">
        <v>11</v>
      </c>
      <c r="D834" s="1">
        <v>22</v>
      </c>
      <c r="E834" s="1">
        <v>41990.81</v>
      </c>
      <c r="F834" s="1">
        <v>2</v>
      </c>
      <c r="G834" s="1">
        <v>0</v>
      </c>
      <c r="H834" s="1">
        <v>1</v>
      </c>
      <c r="I834" s="1">
        <v>32607.24</v>
      </c>
      <c r="J834" s="1">
        <v>0</v>
      </c>
      <c r="K834">
        <f t="shared" si="12"/>
        <v>1</v>
      </c>
    </row>
    <row r="835" spans="1:11" x14ac:dyDescent="0.35">
      <c r="A835" s="1">
        <v>834</v>
      </c>
      <c r="B835" s="1">
        <v>20</v>
      </c>
      <c r="C835" s="1" t="s">
        <v>11</v>
      </c>
      <c r="D835" s="1">
        <v>43</v>
      </c>
      <c r="E835" s="1">
        <v>37588.61</v>
      </c>
      <c r="F835" s="1">
        <v>3</v>
      </c>
      <c r="G835" s="1">
        <v>0</v>
      </c>
      <c r="H835" s="1">
        <v>1</v>
      </c>
      <c r="I835" s="1">
        <v>27241.89</v>
      </c>
      <c r="J835" s="1">
        <v>0</v>
      </c>
      <c r="K835">
        <f t="shared" ref="K835:K898" si="13">COUNTIF($A$2:$A$1001,A835)</f>
        <v>1</v>
      </c>
    </row>
    <row r="836" spans="1:11" x14ac:dyDescent="0.35">
      <c r="A836" s="1">
        <v>835</v>
      </c>
      <c r="B836" s="1">
        <v>40</v>
      </c>
      <c r="C836" s="1" t="s">
        <v>10</v>
      </c>
      <c r="D836" s="1">
        <v>37</v>
      </c>
      <c r="E836" s="1">
        <v>11434.72</v>
      </c>
      <c r="F836" s="1">
        <v>4</v>
      </c>
      <c r="G836" s="1">
        <v>1</v>
      </c>
      <c r="H836" s="1">
        <v>1</v>
      </c>
      <c r="I836" s="1">
        <v>36799.089999999997</v>
      </c>
      <c r="J836" s="1">
        <v>0</v>
      </c>
      <c r="K836">
        <f t="shared" si="13"/>
        <v>1</v>
      </c>
    </row>
    <row r="837" spans="1:11" x14ac:dyDescent="0.35">
      <c r="A837" s="1">
        <v>836</v>
      </c>
      <c r="B837" s="1">
        <v>54</v>
      </c>
      <c r="C837" s="1" t="s">
        <v>10</v>
      </c>
      <c r="D837" s="1">
        <v>61</v>
      </c>
      <c r="E837" s="1">
        <v>47816</v>
      </c>
      <c r="F837" s="1">
        <v>1</v>
      </c>
      <c r="G837" s="1">
        <v>1</v>
      </c>
      <c r="H837" s="1">
        <v>1</v>
      </c>
      <c r="I837" s="1">
        <v>27506.34</v>
      </c>
      <c r="J837" s="1">
        <v>0</v>
      </c>
      <c r="K837">
        <f t="shared" si="13"/>
        <v>1</v>
      </c>
    </row>
    <row r="838" spans="1:11" x14ac:dyDescent="0.35">
      <c r="A838" s="1">
        <v>837</v>
      </c>
      <c r="B838" s="1">
        <v>54</v>
      </c>
      <c r="C838" s="1" t="s">
        <v>10</v>
      </c>
      <c r="D838" s="1">
        <v>56</v>
      </c>
      <c r="E838" s="1">
        <v>7408.9</v>
      </c>
      <c r="F838" s="1">
        <v>3</v>
      </c>
      <c r="G838" s="1">
        <v>1</v>
      </c>
      <c r="H838" s="1">
        <v>0</v>
      </c>
      <c r="I838" s="1">
        <v>129851.59</v>
      </c>
      <c r="J838" s="1">
        <v>0</v>
      </c>
      <c r="K838">
        <f t="shared" si="13"/>
        <v>1</v>
      </c>
    </row>
    <row r="839" spans="1:11" x14ac:dyDescent="0.35">
      <c r="A839" s="1">
        <v>838</v>
      </c>
      <c r="B839" s="1">
        <v>27</v>
      </c>
      <c r="C839" s="1" t="s">
        <v>11</v>
      </c>
      <c r="D839" s="1">
        <v>3</v>
      </c>
      <c r="E839" s="1">
        <v>33977.5</v>
      </c>
      <c r="F839" s="1">
        <v>3</v>
      </c>
      <c r="G839" s="1">
        <v>0</v>
      </c>
      <c r="H839" s="1">
        <v>1</v>
      </c>
      <c r="I839" s="1">
        <v>27676.52</v>
      </c>
      <c r="J839" s="1">
        <v>0</v>
      </c>
      <c r="K839">
        <f t="shared" si="13"/>
        <v>1</v>
      </c>
    </row>
    <row r="840" spans="1:11" x14ac:dyDescent="0.35">
      <c r="A840" s="1">
        <v>839</v>
      </c>
      <c r="B840" s="1">
        <v>27</v>
      </c>
      <c r="C840" s="1" t="s">
        <v>11</v>
      </c>
      <c r="D840" s="1">
        <v>63</v>
      </c>
      <c r="E840" s="1">
        <v>11244.51</v>
      </c>
      <c r="F840" s="1">
        <v>1</v>
      </c>
      <c r="G840" s="1">
        <v>1</v>
      </c>
      <c r="H840" s="1">
        <v>1</v>
      </c>
      <c r="I840" s="1">
        <v>55316.34</v>
      </c>
      <c r="J840" s="1">
        <v>0</v>
      </c>
      <c r="K840">
        <f t="shared" si="13"/>
        <v>1</v>
      </c>
    </row>
    <row r="841" spans="1:11" x14ac:dyDescent="0.35">
      <c r="A841" s="1">
        <v>840</v>
      </c>
      <c r="B841" s="1">
        <v>36</v>
      </c>
      <c r="C841" s="1" t="s">
        <v>10</v>
      </c>
      <c r="D841" s="1">
        <v>19</v>
      </c>
      <c r="E841" s="1">
        <v>21569.03</v>
      </c>
      <c r="F841" s="1">
        <v>3</v>
      </c>
      <c r="G841" s="1">
        <v>1</v>
      </c>
      <c r="H841" s="1">
        <v>0</v>
      </c>
      <c r="I841" s="1">
        <v>33488.32</v>
      </c>
      <c r="J841" s="1">
        <v>0</v>
      </c>
      <c r="K841">
        <f t="shared" si="13"/>
        <v>1</v>
      </c>
    </row>
    <row r="842" spans="1:11" x14ac:dyDescent="0.35">
      <c r="A842" s="1">
        <v>841</v>
      </c>
      <c r="B842" s="1">
        <v>34</v>
      </c>
      <c r="C842" s="1" t="s">
        <v>11</v>
      </c>
      <c r="D842" s="1">
        <v>23</v>
      </c>
      <c r="E842" s="1">
        <v>35957.99</v>
      </c>
      <c r="F842" s="1">
        <v>1</v>
      </c>
      <c r="G842" s="1">
        <v>1</v>
      </c>
      <c r="H842" s="1">
        <v>0</v>
      </c>
      <c r="I842" s="1">
        <v>58404.86</v>
      </c>
      <c r="J842" s="1">
        <v>0</v>
      </c>
      <c r="K842">
        <f t="shared" si="13"/>
        <v>1</v>
      </c>
    </row>
    <row r="843" spans="1:11" x14ac:dyDescent="0.35">
      <c r="A843" s="1">
        <v>842</v>
      </c>
      <c r="B843" s="1">
        <v>38</v>
      </c>
      <c r="C843" s="1" t="s">
        <v>10</v>
      </c>
      <c r="D843" s="1">
        <v>29</v>
      </c>
      <c r="E843" s="1">
        <v>28166.23</v>
      </c>
      <c r="F843" s="1">
        <v>4</v>
      </c>
      <c r="G843" s="1">
        <v>0</v>
      </c>
      <c r="H843" s="1">
        <v>0</v>
      </c>
      <c r="I843" s="1">
        <v>31772.73</v>
      </c>
      <c r="J843" s="1">
        <v>0</v>
      </c>
      <c r="K843">
        <f t="shared" si="13"/>
        <v>1</v>
      </c>
    </row>
    <row r="844" spans="1:11" x14ac:dyDescent="0.35">
      <c r="A844" s="1">
        <v>843</v>
      </c>
      <c r="B844" s="1">
        <v>31</v>
      </c>
      <c r="C844" s="1" t="s">
        <v>10</v>
      </c>
      <c r="D844" s="1">
        <v>30</v>
      </c>
      <c r="E844" s="1">
        <v>21375.09</v>
      </c>
      <c r="F844" s="1">
        <v>2</v>
      </c>
      <c r="G844" s="1">
        <v>0</v>
      </c>
      <c r="H844" s="1">
        <v>0</v>
      </c>
      <c r="I844" s="1">
        <v>106840.42</v>
      </c>
      <c r="J844" s="1">
        <v>0</v>
      </c>
      <c r="K844">
        <f t="shared" si="13"/>
        <v>1</v>
      </c>
    </row>
    <row r="845" spans="1:11" x14ac:dyDescent="0.35">
      <c r="A845" s="1">
        <v>844</v>
      </c>
      <c r="B845" s="1">
        <v>26</v>
      </c>
      <c r="C845" s="1" t="s">
        <v>11</v>
      </c>
      <c r="D845" s="1">
        <v>39</v>
      </c>
      <c r="E845" s="1">
        <v>16316.92</v>
      </c>
      <c r="F845" s="1">
        <v>4</v>
      </c>
      <c r="G845" s="1">
        <v>0</v>
      </c>
      <c r="H845" s="1">
        <v>0</v>
      </c>
      <c r="I845" s="1">
        <v>37332.49</v>
      </c>
      <c r="J845" s="1">
        <v>0</v>
      </c>
      <c r="K845">
        <f t="shared" si="13"/>
        <v>1</v>
      </c>
    </row>
    <row r="846" spans="1:11" x14ac:dyDescent="0.35">
      <c r="A846" s="1">
        <v>845</v>
      </c>
      <c r="B846" s="1">
        <v>63</v>
      </c>
      <c r="C846" s="1" t="s">
        <v>10</v>
      </c>
      <c r="D846" s="1">
        <v>25</v>
      </c>
      <c r="E846" s="1">
        <v>41982.98</v>
      </c>
      <c r="F846" s="1">
        <v>2</v>
      </c>
      <c r="G846" s="1">
        <v>0</v>
      </c>
      <c r="H846" s="1">
        <v>1</v>
      </c>
      <c r="I846" s="1">
        <v>130739.97</v>
      </c>
      <c r="J846" s="1">
        <v>0</v>
      </c>
      <c r="K846">
        <f t="shared" si="13"/>
        <v>1</v>
      </c>
    </row>
    <row r="847" spans="1:11" x14ac:dyDescent="0.35">
      <c r="A847" s="1">
        <v>846</v>
      </c>
      <c r="B847" s="1">
        <v>18</v>
      </c>
      <c r="C847" s="1" t="s">
        <v>11</v>
      </c>
      <c r="D847" s="1">
        <v>8</v>
      </c>
      <c r="E847" s="1">
        <v>7190.72</v>
      </c>
      <c r="F847" s="1">
        <v>1</v>
      </c>
      <c r="G847" s="1">
        <v>1</v>
      </c>
      <c r="H847" s="1">
        <v>0</v>
      </c>
      <c r="I847" s="1">
        <v>126234.84</v>
      </c>
      <c r="J847" s="1">
        <v>1</v>
      </c>
      <c r="K847">
        <f t="shared" si="13"/>
        <v>1</v>
      </c>
    </row>
    <row r="848" spans="1:11" x14ac:dyDescent="0.35">
      <c r="A848" s="1">
        <v>847</v>
      </c>
      <c r="B848" s="1">
        <v>68</v>
      </c>
      <c r="C848" s="1" t="s">
        <v>10</v>
      </c>
      <c r="D848" s="1">
        <v>58</v>
      </c>
      <c r="E848" s="1">
        <v>21505.14</v>
      </c>
      <c r="F848" s="1">
        <v>2</v>
      </c>
      <c r="G848" s="1">
        <v>0</v>
      </c>
      <c r="H848" s="1">
        <v>1</v>
      </c>
      <c r="I848" s="1">
        <v>21776.02</v>
      </c>
      <c r="J848" s="1">
        <v>0</v>
      </c>
      <c r="K848">
        <f t="shared" si="13"/>
        <v>1</v>
      </c>
    </row>
    <row r="849" spans="1:11" x14ac:dyDescent="0.35">
      <c r="A849" s="1">
        <v>848</v>
      </c>
      <c r="B849" s="1">
        <v>62</v>
      </c>
      <c r="C849" s="1" t="s">
        <v>11</v>
      </c>
      <c r="D849" s="1">
        <v>16</v>
      </c>
      <c r="E849" s="1">
        <v>45187.88</v>
      </c>
      <c r="F849" s="1">
        <v>4</v>
      </c>
      <c r="G849" s="1">
        <v>1</v>
      </c>
      <c r="H849" s="1">
        <v>1</v>
      </c>
      <c r="I849" s="1">
        <v>136444.43</v>
      </c>
      <c r="J849" s="1">
        <v>0</v>
      </c>
      <c r="K849">
        <f t="shared" si="13"/>
        <v>1</v>
      </c>
    </row>
    <row r="850" spans="1:11" x14ac:dyDescent="0.35">
      <c r="A850" s="1">
        <v>849</v>
      </c>
      <c r="B850" s="1">
        <v>30</v>
      </c>
      <c r="C850" s="1" t="s">
        <v>11</v>
      </c>
      <c r="D850" s="1">
        <v>1</v>
      </c>
      <c r="E850" s="1">
        <v>42292.480000000003</v>
      </c>
      <c r="F850" s="1">
        <v>2</v>
      </c>
      <c r="G850" s="1">
        <v>1</v>
      </c>
      <c r="H850" s="1">
        <v>0</v>
      </c>
      <c r="I850" s="1">
        <v>23762.76</v>
      </c>
      <c r="J850" s="1">
        <v>0</v>
      </c>
      <c r="K850">
        <f t="shared" si="13"/>
        <v>1</v>
      </c>
    </row>
    <row r="851" spans="1:11" x14ac:dyDescent="0.35">
      <c r="A851" s="1">
        <v>850</v>
      </c>
      <c r="B851" s="1">
        <v>21</v>
      </c>
      <c r="C851" s="1" t="s">
        <v>11</v>
      </c>
      <c r="D851" s="1">
        <v>5</v>
      </c>
      <c r="E851" s="1">
        <v>20047.09</v>
      </c>
      <c r="F851" s="1">
        <v>1</v>
      </c>
      <c r="G851" s="1">
        <v>1</v>
      </c>
      <c r="H851" s="1">
        <v>1</v>
      </c>
      <c r="I851" s="1">
        <v>51153.95</v>
      </c>
      <c r="J851" s="1">
        <v>0</v>
      </c>
      <c r="K851">
        <f t="shared" si="13"/>
        <v>1</v>
      </c>
    </row>
    <row r="852" spans="1:11" x14ac:dyDescent="0.35">
      <c r="A852" s="1">
        <v>851</v>
      </c>
      <c r="B852" s="1">
        <v>18</v>
      </c>
      <c r="C852" s="1" t="s">
        <v>10</v>
      </c>
      <c r="D852" s="1">
        <v>3</v>
      </c>
      <c r="E852" s="1">
        <v>38155.42</v>
      </c>
      <c r="F852" s="1">
        <v>2</v>
      </c>
      <c r="G852" s="1">
        <v>1</v>
      </c>
      <c r="H852" s="1">
        <v>1</v>
      </c>
      <c r="I852" s="1">
        <v>24210.59</v>
      </c>
      <c r="J852" s="1">
        <v>0</v>
      </c>
      <c r="K852">
        <f t="shared" si="13"/>
        <v>1</v>
      </c>
    </row>
    <row r="853" spans="1:11" x14ac:dyDescent="0.35">
      <c r="A853" s="1">
        <v>852</v>
      </c>
      <c r="B853" s="1">
        <v>66</v>
      </c>
      <c r="C853" s="1" t="s">
        <v>10</v>
      </c>
      <c r="D853" s="1">
        <v>65</v>
      </c>
      <c r="E853" s="1">
        <v>41158.04</v>
      </c>
      <c r="F853" s="1">
        <v>3</v>
      </c>
      <c r="G853" s="1">
        <v>0</v>
      </c>
      <c r="H853" s="1">
        <v>0</v>
      </c>
      <c r="I853" s="1">
        <v>63659.65</v>
      </c>
      <c r="J853" s="1">
        <v>0</v>
      </c>
      <c r="K853">
        <f t="shared" si="13"/>
        <v>1</v>
      </c>
    </row>
    <row r="854" spans="1:11" x14ac:dyDescent="0.35">
      <c r="A854" s="1">
        <v>853</v>
      </c>
      <c r="B854" s="1">
        <v>57</v>
      </c>
      <c r="C854" s="1" t="s">
        <v>11</v>
      </c>
      <c r="D854" s="1">
        <v>4</v>
      </c>
      <c r="E854" s="1">
        <v>44444.37</v>
      </c>
      <c r="F854" s="1">
        <v>4</v>
      </c>
      <c r="G854" s="1">
        <v>0</v>
      </c>
      <c r="H854" s="1">
        <v>1</v>
      </c>
      <c r="I854" s="1">
        <v>86802.65</v>
      </c>
      <c r="J854" s="1">
        <v>0</v>
      </c>
      <c r="K854">
        <f t="shared" si="13"/>
        <v>1</v>
      </c>
    </row>
    <row r="855" spans="1:11" x14ac:dyDescent="0.35">
      <c r="A855" s="1">
        <v>854</v>
      </c>
      <c r="B855" s="1">
        <v>49</v>
      </c>
      <c r="C855" s="1" t="s">
        <v>11</v>
      </c>
      <c r="D855" s="1">
        <v>64</v>
      </c>
      <c r="E855" s="1">
        <v>27225.29</v>
      </c>
      <c r="F855" s="1">
        <v>3</v>
      </c>
      <c r="G855" s="1">
        <v>0</v>
      </c>
      <c r="H855" s="1">
        <v>1</v>
      </c>
      <c r="I855" s="1">
        <v>123563.83</v>
      </c>
      <c r="J855" s="1">
        <v>0</v>
      </c>
      <c r="K855">
        <f t="shared" si="13"/>
        <v>1</v>
      </c>
    </row>
    <row r="856" spans="1:11" x14ac:dyDescent="0.35">
      <c r="A856" s="1">
        <v>855</v>
      </c>
      <c r="B856" s="1">
        <v>51</v>
      </c>
      <c r="C856" s="1" t="s">
        <v>10</v>
      </c>
      <c r="D856" s="1">
        <v>10</v>
      </c>
      <c r="E856" s="1">
        <v>10223.040000000001</v>
      </c>
      <c r="F856" s="1">
        <v>1</v>
      </c>
      <c r="G856" s="1">
        <v>0</v>
      </c>
      <c r="H856" s="1">
        <v>1</v>
      </c>
      <c r="I856" s="1">
        <v>63937.599999999999</v>
      </c>
      <c r="J856" s="1">
        <v>0</v>
      </c>
      <c r="K856">
        <f t="shared" si="13"/>
        <v>1</v>
      </c>
    </row>
    <row r="857" spans="1:11" x14ac:dyDescent="0.35">
      <c r="A857" s="1">
        <v>856</v>
      </c>
      <c r="B857" s="1">
        <v>45</v>
      </c>
      <c r="C857" s="1" t="s">
        <v>10</v>
      </c>
      <c r="D857" s="1">
        <v>21</v>
      </c>
      <c r="E857" s="1">
        <v>12765.45</v>
      </c>
      <c r="F857" s="1">
        <v>2</v>
      </c>
      <c r="G857" s="1">
        <v>0</v>
      </c>
      <c r="H857" s="1">
        <v>0</v>
      </c>
      <c r="I857" s="1">
        <v>111713.7</v>
      </c>
      <c r="J857" s="1">
        <v>0</v>
      </c>
      <c r="K857">
        <f t="shared" si="13"/>
        <v>1</v>
      </c>
    </row>
    <row r="858" spans="1:11" x14ac:dyDescent="0.35">
      <c r="A858" s="1">
        <v>857</v>
      </c>
      <c r="B858" s="1">
        <v>48</v>
      </c>
      <c r="C858" s="1" t="s">
        <v>10</v>
      </c>
      <c r="D858" s="1">
        <v>46</v>
      </c>
      <c r="E858" s="1">
        <v>14784.73</v>
      </c>
      <c r="F858" s="1">
        <v>3</v>
      </c>
      <c r="G858" s="1">
        <v>1</v>
      </c>
      <c r="H858" s="1">
        <v>0</v>
      </c>
      <c r="I858" s="1">
        <v>44375.58</v>
      </c>
      <c r="J858" s="1">
        <v>0</v>
      </c>
      <c r="K858">
        <f t="shared" si="13"/>
        <v>1</v>
      </c>
    </row>
    <row r="859" spans="1:11" x14ac:dyDescent="0.35">
      <c r="A859" s="1">
        <v>858</v>
      </c>
      <c r="B859" s="1">
        <v>25</v>
      </c>
      <c r="C859" s="1" t="s">
        <v>11</v>
      </c>
      <c r="D859" s="1">
        <v>27</v>
      </c>
      <c r="E859" s="1">
        <v>29690.12</v>
      </c>
      <c r="F859" s="1">
        <v>3</v>
      </c>
      <c r="G859" s="1">
        <v>0</v>
      </c>
      <c r="H859" s="1">
        <v>0</v>
      </c>
      <c r="I859" s="1">
        <v>117577.8</v>
      </c>
      <c r="J859" s="1">
        <v>0</v>
      </c>
      <c r="K859">
        <f t="shared" si="13"/>
        <v>1</v>
      </c>
    </row>
    <row r="860" spans="1:11" x14ac:dyDescent="0.35">
      <c r="A860" s="1">
        <v>859</v>
      </c>
      <c r="B860" s="1">
        <v>56</v>
      </c>
      <c r="C860" s="1" t="s">
        <v>10</v>
      </c>
      <c r="D860" s="1">
        <v>66</v>
      </c>
      <c r="E860" s="1">
        <v>1640.48</v>
      </c>
      <c r="F860" s="1">
        <v>2</v>
      </c>
      <c r="G860" s="1">
        <v>0</v>
      </c>
      <c r="H860" s="1">
        <v>1</v>
      </c>
      <c r="I860" s="1">
        <v>50679.56</v>
      </c>
      <c r="J860" s="1">
        <v>0</v>
      </c>
      <c r="K860">
        <f t="shared" si="13"/>
        <v>1</v>
      </c>
    </row>
    <row r="861" spans="1:11" x14ac:dyDescent="0.35">
      <c r="A861" s="1">
        <v>860</v>
      </c>
      <c r="B861" s="1">
        <v>43</v>
      </c>
      <c r="C861" s="1" t="s">
        <v>10</v>
      </c>
      <c r="D861" s="1">
        <v>41</v>
      </c>
      <c r="E861" s="1">
        <v>31802.12</v>
      </c>
      <c r="F861" s="1">
        <v>2</v>
      </c>
      <c r="G861" s="1">
        <v>0</v>
      </c>
      <c r="H861" s="1">
        <v>0</v>
      </c>
      <c r="I861" s="1">
        <v>38660.82</v>
      </c>
      <c r="J861" s="1">
        <v>0</v>
      </c>
      <c r="K861">
        <f t="shared" si="13"/>
        <v>1</v>
      </c>
    </row>
    <row r="862" spans="1:11" x14ac:dyDescent="0.35">
      <c r="A862" s="1">
        <v>861</v>
      </c>
      <c r="B862" s="1">
        <v>51</v>
      </c>
      <c r="C862" s="1" t="s">
        <v>11</v>
      </c>
      <c r="D862" s="1">
        <v>13</v>
      </c>
      <c r="E862" s="1">
        <v>18217.71</v>
      </c>
      <c r="F862" s="1">
        <v>4</v>
      </c>
      <c r="G862" s="1">
        <v>0</v>
      </c>
      <c r="H862" s="1">
        <v>1</v>
      </c>
      <c r="I862" s="1">
        <v>44103.15</v>
      </c>
      <c r="J862" s="1">
        <v>0</v>
      </c>
      <c r="K862">
        <f t="shared" si="13"/>
        <v>1</v>
      </c>
    </row>
    <row r="863" spans="1:11" x14ac:dyDescent="0.35">
      <c r="A863" s="1">
        <v>862</v>
      </c>
      <c r="B863" s="1">
        <v>20</v>
      </c>
      <c r="C863" s="1" t="s">
        <v>10</v>
      </c>
      <c r="D863" s="1">
        <v>9</v>
      </c>
      <c r="E863" s="1">
        <v>14762.09</v>
      </c>
      <c r="F863" s="1">
        <v>3</v>
      </c>
      <c r="G863" s="1">
        <v>1</v>
      </c>
      <c r="H863" s="1">
        <v>0</v>
      </c>
      <c r="I863" s="1">
        <v>43668.21</v>
      </c>
      <c r="J863" s="1">
        <v>0</v>
      </c>
      <c r="K863">
        <f t="shared" si="13"/>
        <v>1</v>
      </c>
    </row>
    <row r="864" spans="1:11" x14ac:dyDescent="0.35">
      <c r="A864" s="1">
        <v>863</v>
      </c>
      <c r="B864" s="1">
        <v>67</v>
      </c>
      <c r="C864" s="1" t="s">
        <v>10</v>
      </c>
      <c r="D864" s="1">
        <v>36</v>
      </c>
      <c r="E864" s="1">
        <v>43974.83</v>
      </c>
      <c r="F864" s="1">
        <v>3</v>
      </c>
      <c r="G864" s="1">
        <v>1</v>
      </c>
      <c r="H864" s="1">
        <v>1</v>
      </c>
      <c r="I864" s="1">
        <v>86672.17</v>
      </c>
      <c r="J864" s="1">
        <v>0</v>
      </c>
      <c r="K864">
        <f t="shared" si="13"/>
        <v>1</v>
      </c>
    </row>
    <row r="865" spans="1:11" x14ac:dyDescent="0.35">
      <c r="A865" s="1">
        <v>864</v>
      </c>
      <c r="B865" s="1">
        <v>29</v>
      </c>
      <c r="C865" s="1" t="s">
        <v>10</v>
      </c>
      <c r="D865" s="1">
        <v>58</v>
      </c>
      <c r="E865" s="1">
        <v>23000.12</v>
      </c>
      <c r="F865" s="1">
        <v>1</v>
      </c>
      <c r="G865" s="1">
        <v>1</v>
      </c>
      <c r="H865" s="1">
        <v>0</v>
      </c>
      <c r="I865" s="1">
        <v>129823.69</v>
      </c>
      <c r="J865" s="1">
        <v>0</v>
      </c>
      <c r="K865">
        <f t="shared" si="13"/>
        <v>1</v>
      </c>
    </row>
    <row r="866" spans="1:11" x14ac:dyDescent="0.35">
      <c r="A866" s="1">
        <v>865</v>
      </c>
      <c r="B866" s="1">
        <v>18</v>
      </c>
      <c r="C866" s="1" t="s">
        <v>11</v>
      </c>
      <c r="D866" s="1">
        <v>54</v>
      </c>
      <c r="E866" s="1">
        <v>4752.6499999999996</v>
      </c>
      <c r="F866" s="1">
        <v>4</v>
      </c>
      <c r="G866" s="1">
        <v>1</v>
      </c>
      <c r="H866" s="1">
        <v>0</v>
      </c>
      <c r="I866" s="1">
        <v>30348.66</v>
      </c>
      <c r="J866" s="1">
        <v>0</v>
      </c>
      <c r="K866">
        <f t="shared" si="13"/>
        <v>1</v>
      </c>
    </row>
    <row r="867" spans="1:11" x14ac:dyDescent="0.35">
      <c r="A867" s="1">
        <v>866</v>
      </c>
      <c r="B867" s="1">
        <v>61</v>
      </c>
      <c r="C867" s="1" t="s">
        <v>11</v>
      </c>
      <c r="D867" s="1">
        <v>12</v>
      </c>
      <c r="E867" s="1">
        <v>41337.339999999997</v>
      </c>
      <c r="F867" s="1">
        <v>1</v>
      </c>
      <c r="G867" s="1">
        <v>1</v>
      </c>
      <c r="H867" s="1">
        <v>1</v>
      </c>
      <c r="I867" s="1">
        <v>111904.32000000001</v>
      </c>
      <c r="J867" s="1">
        <v>0</v>
      </c>
      <c r="K867">
        <f t="shared" si="13"/>
        <v>1</v>
      </c>
    </row>
    <row r="868" spans="1:11" x14ac:dyDescent="0.35">
      <c r="A868" s="1">
        <v>867</v>
      </c>
      <c r="B868" s="1">
        <v>22</v>
      </c>
      <c r="C868" s="1" t="s">
        <v>11</v>
      </c>
      <c r="D868" s="1">
        <v>14</v>
      </c>
      <c r="E868" s="1">
        <v>2382.06</v>
      </c>
      <c r="F868" s="1">
        <v>3</v>
      </c>
      <c r="G868" s="1">
        <v>0</v>
      </c>
      <c r="H868" s="1">
        <v>0</v>
      </c>
      <c r="I868" s="1">
        <v>105065.04</v>
      </c>
      <c r="J868" s="1">
        <v>0</v>
      </c>
      <c r="K868">
        <f t="shared" si="13"/>
        <v>1</v>
      </c>
    </row>
    <row r="869" spans="1:11" x14ac:dyDescent="0.35">
      <c r="A869" s="1">
        <v>868</v>
      </c>
      <c r="B869" s="1">
        <v>47</v>
      </c>
      <c r="C869" s="1" t="s">
        <v>11</v>
      </c>
      <c r="D869" s="1">
        <v>34</v>
      </c>
      <c r="E869" s="1">
        <v>36337.46</v>
      </c>
      <c r="F869" s="1">
        <v>1</v>
      </c>
      <c r="G869" s="1">
        <v>1</v>
      </c>
      <c r="H869" s="1">
        <v>1</v>
      </c>
      <c r="I869" s="1">
        <v>133427.59</v>
      </c>
      <c r="J869" s="1">
        <v>0</v>
      </c>
      <c r="K869">
        <f t="shared" si="13"/>
        <v>1</v>
      </c>
    </row>
    <row r="870" spans="1:11" x14ac:dyDescent="0.35">
      <c r="A870" s="1">
        <v>869</v>
      </c>
      <c r="B870" s="1">
        <v>47</v>
      </c>
      <c r="C870" s="1" t="s">
        <v>11</v>
      </c>
      <c r="D870" s="1">
        <v>53</v>
      </c>
      <c r="E870" s="1">
        <v>38695.31</v>
      </c>
      <c r="F870" s="1">
        <v>3</v>
      </c>
      <c r="G870" s="1">
        <v>1</v>
      </c>
      <c r="H870" s="1">
        <v>0</v>
      </c>
      <c r="I870" s="1">
        <v>51739.18</v>
      </c>
      <c r="J870" s="1">
        <v>0</v>
      </c>
      <c r="K870">
        <f t="shared" si="13"/>
        <v>1</v>
      </c>
    </row>
    <row r="871" spans="1:11" x14ac:dyDescent="0.35">
      <c r="A871" s="1">
        <v>870</v>
      </c>
      <c r="B871" s="1">
        <v>34</v>
      </c>
      <c r="C871" s="1" t="s">
        <v>11</v>
      </c>
      <c r="D871" s="1">
        <v>20</v>
      </c>
      <c r="E871" s="1">
        <v>17630.13</v>
      </c>
      <c r="F871" s="1">
        <v>3</v>
      </c>
      <c r="G871" s="1">
        <v>1</v>
      </c>
      <c r="H871" s="1">
        <v>0</v>
      </c>
      <c r="I871" s="1">
        <v>78514.28</v>
      </c>
      <c r="J871" s="1">
        <v>0</v>
      </c>
      <c r="K871">
        <f t="shared" si="13"/>
        <v>1</v>
      </c>
    </row>
    <row r="872" spans="1:11" x14ac:dyDescent="0.35">
      <c r="A872" s="1">
        <v>871</v>
      </c>
      <c r="B872" s="1">
        <v>65</v>
      </c>
      <c r="C872" s="1" t="s">
        <v>11</v>
      </c>
      <c r="D872" s="1">
        <v>16</v>
      </c>
      <c r="E872" s="1">
        <v>41239.39</v>
      </c>
      <c r="F872" s="1">
        <v>1</v>
      </c>
      <c r="G872" s="1">
        <v>0</v>
      </c>
      <c r="H872" s="1">
        <v>1</v>
      </c>
      <c r="I872" s="1">
        <v>140357.56</v>
      </c>
      <c r="J872" s="1">
        <v>0</v>
      </c>
      <c r="K872">
        <f t="shared" si="13"/>
        <v>1</v>
      </c>
    </row>
    <row r="873" spans="1:11" x14ac:dyDescent="0.35">
      <c r="A873" s="1">
        <v>872</v>
      </c>
      <c r="B873" s="1">
        <v>64</v>
      </c>
      <c r="C873" s="1" t="s">
        <v>10</v>
      </c>
      <c r="D873" s="1">
        <v>70</v>
      </c>
      <c r="E873" s="1">
        <v>25782.97</v>
      </c>
      <c r="F873" s="1">
        <v>1</v>
      </c>
      <c r="G873" s="1">
        <v>0</v>
      </c>
      <c r="H873" s="1">
        <v>1</v>
      </c>
      <c r="I873" s="1">
        <v>105799.15</v>
      </c>
      <c r="J873" s="1">
        <v>0</v>
      </c>
      <c r="K873">
        <f t="shared" si="13"/>
        <v>1</v>
      </c>
    </row>
    <row r="874" spans="1:11" x14ac:dyDescent="0.35">
      <c r="A874" s="1">
        <v>873</v>
      </c>
      <c r="B874" s="1">
        <v>40</v>
      </c>
      <c r="C874" s="1" t="s">
        <v>10</v>
      </c>
      <c r="D874" s="1">
        <v>56</v>
      </c>
      <c r="E874" s="1">
        <v>23164.68</v>
      </c>
      <c r="F874" s="1">
        <v>2</v>
      </c>
      <c r="G874" s="1">
        <v>1</v>
      </c>
      <c r="H874" s="1">
        <v>1</v>
      </c>
      <c r="I874" s="1">
        <v>70539.89</v>
      </c>
      <c r="J874" s="1">
        <v>0</v>
      </c>
      <c r="K874">
        <f t="shared" si="13"/>
        <v>1</v>
      </c>
    </row>
    <row r="875" spans="1:11" x14ac:dyDescent="0.35">
      <c r="A875" s="1">
        <v>874</v>
      </c>
      <c r="B875" s="1">
        <v>32</v>
      </c>
      <c r="C875" s="1" t="s">
        <v>11</v>
      </c>
      <c r="D875" s="1">
        <v>58</v>
      </c>
      <c r="E875" s="1">
        <v>2270.16</v>
      </c>
      <c r="F875" s="1">
        <v>2</v>
      </c>
      <c r="G875" s="1">
        <v>0</v>
      </c>
      <c r="H875" s="1">
        <v>0</v>
      </c>
      <c r="I875" s="1">
        <v>37083.61</v>
      </c>
      <c r="J875" s="1">
        <v>0</v>
      </c>
      <c r="K875">
        <f t="shared" si="13"/>
        <v>1</v>
      </c>
    </row>
    <row r="876" spans="1:11" x14ac:dyDescent="0.35">
      <c r="A876" s="1">
        <v>875</v>
      </c>
      <c r="B876" s="1">
        <v>54</v>
      </c>
      <c r="C876" s="1" t="s">
        <v>10</v>
      </c>
      <c r="D876" s="1">
        <v>4</v>
      </c>
      <c r="E876" s="1">
        <v>14501.46</v>
      </c>
      <c r="F876" s="1">
        <v>2</v>
      </c>
      <c r="G876" s="1">
        <v>0</v>
      </c>
      <c r="H876" s="1">
        <v>1</v>
      </c>
      <c r="I876" s="1">
        <v>54123.05</v>
      </c>
      <c r="J876" s="1">
        <v>0</v>
      </c>
      <c r="K876">
        <f t="shared" si="13"/>
        <v>1</v>
      </c>
    </row>
    <row r="877" spans="1:11" x14ac:dyDescent="0.35">
      <c r="A877" s="1">
        <v>876</v>
      </c>
      <c r="B877" s="1">
        <v>38</v>
      </c>
      <c r="C877" s="1" t="s">
        <v>10</v>
      </c>
      <c r="D877" s="1">
        <v>4</v>
      </c>
      <c r="E877" s="1">
        <v>46550.5</v>
      </c>
      <c r="F877" s="1">
        <v>3</v>
      </c>
      <c r="G877" s="1">
        <v>1</v>
      </c>
      <c r="H877" s="1">
        <v>0</v>
      </c>
      <c r="I877" s="1">
        <v>95558.01</v>
      </c>
      <c r="J877" s="1">
        <v>0</v>
      </c>
      <c r="K877">
        <f t="shared" si="13"/>
        <v>1</v>
      </c>
    </row>
    <row r="878" spans="1:11" x14ac:dyDescent="0.35">
      <c r="A878" s="1">
        <v>877</v>
      </c>
      <c r="B878" s="1">
        <v>31</v>
      </c>
      <c r="C878" s="1" t="s">
        <v>11</v>
      </c>
      <c r="D878" s="1">
        <v>20</v>
      </c>
      <c r="E878" s="1">
        <v>19591.2</v>
      </c>
      <c r="F878" s="1">
        <v>1</v>
      </c>
      <c r="G878" s="1">
        <v>0</v>
      </c>
      <c r="H878" s="1">
        <v>1</v>
      </c>
      <c r="I878" s="1">
        <v>113361.83</v>
      </c>
      <c r="J878" s="1">
        <v>0</v>
      </c>
      <c r="K878">
        <f t="shared" si="13"/>
        <v>1</v>
      </c>
    </row>
    <row r="879" spans="1:11" x14ac:dyDescent="0.35">
      <c r="A879" s="1">
        <v>878</v>
      </c>
      <c r="B879" s="1">
        <v>19</v>
      </c>
      <c r="C879" s="1" t="s">
        <v>10</v>
      </c>
      <c r="D879" s="1">
        <v>10</v>
      </c>
      <c r="E879" s="1">
        <v>27335.03</v>
      </c>
      <c r="F879" s="1">
        <v>4</v>
      </c>
      <c r="G879" s="1">
        <v>0</v>
      </c>
      <c r="H879" s="1">
        <v>1</v>
      </c>
      <c r="I879" s="1">
        <v>36174.85</v>
      </c>
      <c r="J879" s="1">
        <v>0</v>
      </c>
      <c r="K879">
        <f t="shared" si="13"/>
        <v>1</v>
      </c>
    </row>
    <row r="880" spans="1:11" x14ac:dyDescent="0.35">
      <c r="A880" s="1">
        <v>879</v>
      </c>
      <c r="B880" s="1">
        <v>28</v>
      </c>
      <c r="C880" s="1" t="s">
        <v>10</v>
      </c>
      <c r="D880" s="1">
        <v>24</v>
      </c>
      <c r="E880" s="1">
        <v>26601.08</v>
      </c>
      <c r="F880" s="1">
        <v>3</v>
      </c>
      <c r="G880" s="1">
        <v>0</v>
      </c>
      <c r="H880" s="1">
        <v>1</v>
      </c>
      <c r="I880" s="1">
        <v>97947.64</v>
      </c>
      <c r="J880" s="1">
        <v>0</v>
      </c>
      <c r="K880">
        <f t="shared" si="13"/>
        <v>1</v>
      </c>
    </row>
    <row r="881" spans="1:11" x14ac:dyDescent="0.35">
      <c r="A881" s="1">
        <v>880</v>
      </c>
      <c r="B881" s="1">
        <v>68</v>
      </c>
      <c r="C881" s="1" t="s">
        <v>10</v>
      </c>
      <c r="D881" s="1">
        <v>26</v>
      </c>
      <c r="E881" s="1">
        <v>29521.55</v>
      </c>
      <c r="F881" s="1">
        <v>4</v>
      </c>
      <c r="G881" s="1">
        <v>1</v>
      </c>
      <c r="H881" s="1">
        <v>1</v>
      </c>
      <c r="I881" s="1">
        <v>91545.67</v>
      </c>
      <c r="J881" s="1">
        <v>0</v>
      </c>
      <c r="K881">
        <f t="shared" si="13"/>
        <v>1</v>
      </c>
    </row>
    <row r="882" spans="1:11" x14ac:dyDescent="0.35">
      <c r="A882" s="1">
        <v>881</v>
      </c>
      <c r="B882" s="1">
        <v>56</v>
      </c>
      <c r="C882" s="1" t="s">
        <v>10</v>
      </c>
      <c r="D882" s="1">
        <v>37</v>
      </c>
      <c r="E882" s="1">
        <v>3066.55</v>
      </c>
      <c r="F882" s="1">
        <v>1</v>
      </c>
      <c r="G882" s="1">
        <v>1</v>
      </c>
      <c r="H882" s="1">
        <v>1</v>
      </c>
      <c r="I882" s="1">
        <v>86814.21</v>
      </c>
      <c r="J882" s="1">
        <v>0</v>
      </c>
      <c r="K882">
        <f t="shared" si="13"/>
        <v>1</v>
      </c>
    </row>
    <row r="883" spans="1:11" x14ac:dyDescent="0.35">
      <c r="A883" s="1">
        <v>882</v>
      </c>
      <c r="B883" s="1">
        <v>55</v>
      </c>
      <c r="C883" s="1" t="s">
        <v>10</v>
      </c>
      <c r="D883" s="1">
        <v>54</v>
      </c>
      <c r="E883" s="1">
        <v>18108.810000000001</v>
      </c>
      <c r="F883" s="1">
        <v>3</v>
      </c>
      <c r="G883" s="1">
        <v>1</v>
      </c>
      <c r="H883" s="1">
        <v>1</v>
      </c>
      <c r="I883" s="1">
        <v>109716.01</v>
      </c>
      <c r="J883" s="1">
        <v>0</v>
      </c>
      <c r="K883">
        <f t="shared" si="13"/>
        <v>1</v>
      </c>
    </row>
    <row r="884" spans="1:11" x14ac:dyDescent="0.35">
      <c r="A884" s="1">
        <v>883</v>
      </c>
      <c r="B884" s="1">
        <v>51</v>
      </c>
      <c r="C884" s="1" t="s">
        <v>11</v>
      </c>
      <c r="D884" s="1">
        <v>21</v>
      </c>
      <c r="E884" s="1">
        <v>36156.410000000003</v>
      </c>
      <c r="F884" s="1">
        <v>4</v>
      </c>
      <c r="G884" s="1">
        <v>0</v>
      </c>
      <c r="H884" s="1">
        <v>0</v>
      </c>
      <c r="I884" s="1">
        <v>128868.45</v>
      </c>
      <c r="J884" s="1">
        <v>0</v>
      </c>
      <c r="K884">
        <f t="shared" si="13"/>
        <v>1</v>
      </c>
    </row>
    <row r="885" spans="1:11" x14ac:dyDescent="0.35">
      <c r="A885" s="1">
        <v>884</v>
      </c>
      <c r="B885" s="1">
        <v>55</v>
      </c>
      <c r="C885" s="1" t="s">
        <v>11</v>
      </c>
      <c r="D885" s="1">
        <v>38</v>
      </c>
      <c r="E885" s="1">
        <v>10028.01</v>
      </c>
      <c r="F885" s="1">
        <v>4</v>
      </c>
      <c r="G885" s="1">
        <v>1</v>
      </c>
      <c r="H885" s="1">
        <v>1</v>
      </c>
      <c r="I885" s="1">
        <v>61988.66</v>
      </c>
      <c r="J885" s="1">
        <v>0</v>
      </c>
      <c r="K885">
        <f t="shared" si="13"/>
        <v>1</v>
      </c>
    </row>
    <row r="886" spans="1:11" x14ac:dyDescent="0.35">
      <c r="A886" s="1">
        <v>885</v>
      </c>
      <c r="B886" s="1">
        <v>67</v>
      </c>
      <c r="C886" s="1" t="s">
        <v>11</v>
      </c>
      <c r="D886" s="1">
        <v>46</v>
      </c>
      <c r="E886" s="1">
        <v>10178.92</v>
      </c>
      <c r="F886" s="1">
        <v>2</v>
      </c>
      <c r="G886" s="1">
        <v>0</v>
      </c>
      <c r="H886" s="1">
        <v>0</v>
      </c>
      <c r="I886" s="1">
        <v>135571.57999999999</v>
      </c>
      <c r="J886" s="1">
        <v>0</v>
      </c>
      <c r="K886">
        <f t="shared" si="13"/>
        <v>1</v>
      </c>
    </row>
    <row r="887" spans="1:11" x14ac:dyDescent="0.35">
      <c r="A887" s="1">
        <v>886</v>
      </c>
      <c r="B887" s="1">
        <v>51</v>
      </c>
      <c r="C887" s="1" t="s">
        <v>10</v>
      </c>
      <c r="D887" s="1">
        <v>4</v>
      </c>
      <c r="E887" s="1">
        <v>504.53</v>
      </c>
      <c r="F887" s="1">
        <v>2</v>
      </c>
      <c r="G887" s="1">
        <v>0</v>
      </c>
      <c r="H887" s="1">
        <v>1</v>
      </c>
      <c r="I887" s="1">
        <v>40882.370000000003</v>
      </c>
      <c r="J887" s="1">
        <v>0</v>
      </c>
      <c r="K887">
        <f t="shared" si="13"/>
        <v>1</v>
      </c>
    </row>
    <row r="888" spans="1:11" x14ac:dyDescent="0.35">
      <c r="A888" s="1">
        <v>887</v>
      </c>
      <c r="B888" s="1">
        <v>35</v>
      </c>
      <c r="C888" s="1" t="s">
        <v>11</v>
      </c>
      <c r="D888" s="1">
        <v>60</v>
      </c>
      <c r="E888" s="1">
        <v>21874.1</v>
      </c>
      <c r="F888" s="1">
        <v>2</v>
      </c>
      <c r="G888" s="1">
        <v>0</v>
      </c>
      <c r="H888" s="1">
        <v>1</v>
      </c>
      <c r="I888" s="1">
        <v>42493.1</v>
      </c>
      <c r="J888" s="1">
        <v>0</v>
      </c>
      <c r="K888">
        <f t="shared" si="13"/>
        <v>1</v>
      </c>
    </row>
    <row r="889" spans="1:11" x14ac:dyDescent="0.35">
      <c r="A889" s="1">
        <v>888</v>
      </c>
      <c r="B889" s="1">
        <v>47</v>
      </c>
      <c r="C889" s="1" t="s">
        <v>10</v>
      </c>
      <c r="D889" s="1">
        <v>57</v>
      </c>
      <c r="E889" s="1">
        <v>44136.72</v>
      </c>
      <c r="F889" s="1">
        <v>3</v>
      </c>
      <c r="G889" s="1">
        <v>1</v>
      </c>
      <c r="H889" s="1">
        <v>1</v>
      </c>
      <c r="I889" s="1">
        <v>54680.37</v>
      </c>
      <c r="J889" s="1">
        <v>0</v>
      </c>
      <c r="K889">
        <f t="shared" si="13"/>
        <v>1</v>
      </c>
    </row>
    <row r="890" spans="1:11" x14ac:dyDescent="0.35">
      <c r="A890" s="1">
        <v>889</v>
      </c>
      <c r="B890" s="1">
        <v>32</v>
      </c>
      <c r="C890" s="1" t="s">
        <v>10</v>
      </c>
      <c r="D890" s="1">
        <v>45</v>
      </c>
      <c r="E890" s="1">
        <v>2595.0500000000002</v>
      </c>
      <c r="F890" s="1">
        <v>1</v>
      </c>
      <c r="G890" s="1">
        <v>1</v>
      </c>
      <c r="H890" s="1">
        <v>0</v>
      </c>
      <c r="I890" s="1">
        <v>35539.01</v>
      </c>
      <c r="J890" s="1">
        <v>0</v>
      </c>
      <c r="K890">
        <f t="shared" si="13"/>
        <v>1</v>
      </c>
    </row>
    <row r="891" spans="1:11" x14ac:dyDescent="0.35">
      <c r="A891" s="1">
        <v>890</v>
      </c>
      <c r="B891" s="1">
        <v>44</v>
      </c>
      <c r="C891" s="1" t="s">
        <v>10</v>
      </c>
      <c r="D891" s="1">
        <v>20</v>
      </c>
      <c r="E891" s="1">
        <v>9555.94</v>
      </c>
      <c r="F891" s="1">
        <v>1</v>
      </c>
      <c r="G891" s="1">
        <v>1</v>
      </c>
      <c r="H891" s="1">
        <v>0</v>
      </c>
      <c r="I891" s="1">
        <v>49941.5</v>
      </c>
      <c r="J891" s="1">
        <v>0</v>
      </c>
      <c r="K891">
        <f t="shared" si="13"/>
        <v>1</v>
      </c>
    </row>
    <row r="892" spans="1:11" x14ac:dyDescent="0.35">
      <c r="A892" s="1">
        <v>891</v>
      </c>
      <c r="B892" s="1">
        <v>68</v>
      </c>
      <c r="C892" s="1" t="s">
        <v>10</v>
      </c>
      <c r="D892" s="1">
        <v>17</v>
      </c>
      <c r="E892" s="1">
        <v>15504.23</v>
      </c>
      <c r="F892" s="1">
        <v>2</v>
      </c>
      <c r="G892" s="1">
        <v>1</v>
      </c>
      <c r="H892" s="1">
        <v>1</v>
      </c>
      <c r="I892" s="1">
        <v>33833.53</v>
      </c>
      <c r="J892" s="1">
        <v>0</v>
      </c>
      <c r="K892">
        <f t="shared" si="13"/>
        <v>1</v>
      </c>
    </row>
    <row r="893" spans="1:11" x14ac:dyDescent="0.35">
      <c r="A893" s="1">
        <v>892</v>
      </c>
      <c r="B893" s="1">
        <v>51</v>
      </c>
      <c r="C893" s="1" t="s">
        <v>11</v>
      </c>
      <c r="D893" s="1">
        <v>71</v>
      </c>
      <c r="E893" s="1">
        <v>36586.239999999998</v>
      </c>
      <c r="F893" s="1">
        <v>2</v>
      </c>
      <c r="G893" s="1">
        <v>0</v>
      </c>
      <c r="H893" s="1">
        <v>0</v>
      </c>
      <c r="I893" s="1">
        <v>126827.81</v>
      </c>
      <c r="J893" s="1">
        <v>0</v>
      </c>
      <c r="K893">
        <f t="shared" si="13"/>
        <v>1</v>
      </c>
    </row>
    <row r="894" spans="1:11" x14ac:dyDescent="0.35">
      <c r="A894" s="1">
        <v>893</v>
      </c>
      <c r="B894" s="1">
        <v>69</v>
      </c>
      <c r="C894" s="1" t="s">
        <v>11</v>
      </c>
      <c r="D894" s="1">
        <v>4</v>
      </c>
      <c r="E894" s="1">
        <v>32031.78</v>
      </c>
      <c r="F894" s="1">
        <v>2</v>
      </c>
      <c r="G894" s="1">
        <v>1</v>
      </c>
      <c r="H894" s="1">
        <v>1</v>
      </c>
      <c r="I894" s="1">
        <v>38065.97</v>
      </c>
      <c r="J894" s="1">
        <v>0</v>
      </c>
      <c r="K894">
        <f t="shared" si="13"/>
        <v>1</v>
      </c>
    </row>
    <row r="895" spans="1:11" x14ac:dyDescent="0.35">
      <c r="A895" s="1">
        <v>894</v>
      </c>
      <c r="B895" s="1">
        <v>55</v>
      </c>
      <c r="C895" s="1" t="s">
        <v>10</v>
      </c>
      <c r="D895" s="1">
        <v>14</v>
      </c>
      <c r="E895" s="1">
        <v>20797.2</v>
      </c>
      <c r="F895" s="1">
        <v>4</v>
      </c>
      <c r="G895" s="1">
        <v>0</v>
      </c>
      <c r="H895" s="1">
        <v>1</v>
      </c>
      <c r="I895" s="1">
        <v>117148.68</v>
      </c>
      <c r="J895" s="1">
        <v>0</v>
      </c>
      <c r="K895">
        <f t="shared" si="13"/>
        <v>1</v>
      </c>
    </row>
    <row r="896" spans="1:11" x14ac:dyDescent="0.35">
      <c r="A896" s="1">
        <v>895</v>
      </c>
      <c r="B896" s="1">
        <v>50</v>
      </c>
      <c r="C896" s="1" t="s">
        <v>11</v>
      </c>
      <c r="D896" s="1">
        <v>3</v>
      </c>
      <c r="E896" s="1">
        <v>37953.449999999997</v>
      </c>
      <c r="F896" s="1">
        <v>2</v>
      </c>
      <c r="G896" s="1">
        <v>1</v>
      </c>
      <c r="H896" s="1">
        <v>0</v>
      </c>
      <c r="I896" s="1">
        <v>26228.799999999999</v>
      </c>
      <c r="J896" s="1">
        <v>0</v>
      </c>
      <c r="K896">
        <f t="shared" si="13"/>
        <v>1</v>
      </c>
    </row>
    <row r="897" spans="1:11" x14ac:dyDescent="0.35">
      <c r="A897" s="1">
        <v>896</v>
      </c>
      <c r="B897" s="1">
        <v>41</v>
      </c>
      <c r="C897" s="1" t="s">
        <v>10</v>
      </c>
      <c r="D897" s="1">
        <v>58</v>
      </c>
      <c r="E897" s="1">
        <v>30481.55</v>
      </c>
      <c r="F897" s="1">
        <v>4</v>
      </c>
      <c r="G897" s="1">
        <v>1</v>
      </c>
      <c r="H897" s="1">
        <v>0</v>
      </c>
      <c r="I897" s="1">
        <v>143307.64000000001</v>
      </c>
      <c r="J897" s="1">
        <v>0</v>
      </c>
      <c r="K897">
        <f t="shared" si="13"/>
        <v>1</v>
      </c>
    </row>
    <row r="898" spans="1:11" x14ac:dyDescent="0.35">
      <c r="A898" s="1">
        <v>897</v>
      </c>
      <c r="B898" s="1">
        <v>32</v>
      </c>
      <c r="C898" s="1" t="s">
        <v>11</v>
      </c>
      <c r="D898" s="1">
        <v>55</v>
      </c>
      <c r="E898" s="1">
        <v>44802.04</v>
      </c>
      <c r="F898" s="1">
        <v>1</v>
      </c>
      <c r="G898" s="1">
        <v>1</v>
      </c>
      <c r="H898" s="1">
        <v>0</v>
      </c>
      <c r="I898" s="1">
        <v>112450.81</v>
      </c>
      <c r="J898" s="1">
        <v>0</v>
      </c>
      <c r="K898">
        <f t="shared" si="13"/>
        <v>1</v>
      </c>
    </row>
    <row r="899" spans="1:11" x14ac:dyDescent="0.35">
      <c r="A899" s="1">
        <v>898</v>
      </c>
      <c r="B899" s="1">
        <v>47</v>
      </c>
      <c r="C899" s="1" t="s">
        <v>11</v>
      </c>
      <c r="D899" s="1">
        <v>4</v>
      </c>
      <c r="E899" s="1">
        <v>40901.339999999997</v>
      </c>
      <c r="F899" s="1">
        <v>3</v>
      </c>
      <c r="G899" s="1">
        <v>0</v>
      </c>
      <c r="H899" s="1">
        <v>0</v>
      </c>
      <c r="I899" s="1">
        <v>20883.55</v>
      </c>
      <c r="J899" s="1">
        <v>0</v>
      </c>
      <c r="K899">
        <f t="shared" ref="K899:K962" si="14">COUNTIF($A$2:$A$1001,A899)</f>
        <v>1</v>
      </c>
    </row>
    <row r="900" spans="1:11" x14ac:dyDescent="0.35">
      <c r="A900" s="1">
        <v>899</v>
      </c>
      <c r="B900" s="1">
        <v>59</v>
      </c>
      <c r="C900" s="1" t="s">
        <v>10</v>
      </c>
      <c r="D900" s="1">
        <v>24</v>
      </c>
      <c r="E900" s="1">
        <v>12640.68</v>
      </c>
      <c r="F900" s="1">
        <v>3</v>
      </c>
      <c r="G900" s="1">
        <v>0</v>
      </c>
      <c r="H900" s="1">
        <v>1</v>
      </c>
      <c r="I900" s="1">
        <v>119301.35</v>
      </c>
      <c r="J900" s="1">
        <v>0</v>
      </c>
      <c r="K900">
        <f t="shared" si="14"/>
        <v>1</v>
      </c>
    </row>
    <row r="901" spans="1:11" x14ac:dyDescent="0.35">
      <c r="A901" s="1">
        <v>900</v>
      </c>
      <c r="B901" s="1">
        <v>68</v>
      </c>
      <c r="C901" s="1" t="s">
        <v>11</v>
      </c>
      <c r="D901" s="1">
        <v>34</v>
      </c>
      <c r="E901" s="1">
        <v>13571.93</v>
      </c>
      <c r="F901" s="1">
        <v>3</v>
      </c>
      <c r="G901" s="1">
        <v>0</v>
      </c>
      <c r="H901" s="1">
        <v>0</v>
      </c>
      <c r="I901" s="1">
        <v>86830.65</v>
      </c>
      <c r="J901" s="1">
        <v>0</v>
      </c>
      <c r="K901">
        <f t="shared" si="14"/>
        <v>1</v>
      </c>
    </row>
    <row r="902" spans="1:11" x14ac:dyDescent="0.35">
      <c r="A902" s="1">
        <v>901</v>
      </c>
      <c r="B902" s="1">
        <v>34</v>
      </c>
      <c r="C902" s="1" t="s">
        <v>10</v>
      </c>
      <c r="D902" s="1">
        <v>30</v>
      </c>
      <c r="E902" s="1">
        <v>6267.82</v>
      </c>
      <c r="F902" s="1">
        <v>3</v>
      </c>
      <c r="G902" s="1">
        <v>0</v>
      </c>
      <c r="H902" s="1">
        <v>0</v>
      </c>
      <c r="I902" s="1">
        <v>121317.47</v>
      </c>
      <c r="J902" s="1">
        <v>0</v>
      </c>
      <c r="K902">
        <f t="shared" si="14"/>
        <v>1</v>
      </c>
    </row>
    <row r="903" spans="1:11" x14ac:dyDescent="0.35">
      <c r="A903" s="1">
        <v>902</v>
      </c>
      <c r="B903" s="1">
        <v>22</v>
      </c>
      <c r="C903" s="1" t="s">
        <v>11</v>
      </c>
      <c r="D903" s="1">
        <v>19</v>
      </c>
      <c r="E903" s="1">
        <v>16848.240000000002</v>
      </c>
      <c r="F903" s="1">
        <v>4</v>
      </c>
      <c r="G903" s="1">
        <v>0</v>
      </c>
      <c r="H903" s="1">
        <v>1</v>
      </c>
      <c r="I903" s="1">
        <v>87924.59</v>
      </c>
      <c r="J903" s="1">
        <v>0</v>
      </c>
      <c r="K903">
        <f t="shared" si="14"/>
        <v>1</v>
      </c>
    </row>
    <row r="904" spans="1:11" x14ac:dyDescent="0.35">
      <c r="A904" s="1">
        <v>903</v>
      </c>
      <c r="B904" s="1">
        <v>46</v>
      </c>
      <c r="C904" s="1" t="s">
        <v>10</v>
      </c>
      <c r="D904" s="1">
        <v>31</v>
      </c>
      <c r="E904" s="1">
        <v>49977.2</v>
      </c>
      <c r="F904" s="1">
        <v>4</v>
      </c>
      <c r="G904" s="1">
        <v>1</v>
      </c>
      <c r="H904" s="1">
        <v>0</v>
      </c>
      <c r="I904" s="1">
        <v>103333.23</v>
      </c>
      <c r="J904" s="1">
        <v>0</v>
      </c>
      <c r="K904">
        <f t="shared" si="14"/>
        <v>1</v>
      </c>
    </row>
    <row r="905" spans="1:11" x14ac:dyDescent="0.35">
      <c r="A905" s="1">
        <v>904</v>
      </c>
      <c r="B905" s="1">
        <v>21</v>
      </c>
      <c r="C905" s="1" t="s">
        <v>10</v>
      </c>
      <c r="D905" s="1">
        <v>60</v>
      </c>
      <c r="E905" s="1">
        <v>20287.560000000001</v>
      </c>
      <c r="F905" s="1">
        <v>2</v>
      </c>
      <c r="G905" s="1">
        <v>0</v>
      </c>
      <c r="H905" s="1">
        <v>0</v>
      </c>
      <c r="I905" s="1">
        <v>122223.12</v>
      </c>
      <c r="J905" s="1">
        <v>0</v>
      </c>
      <c r="K905">
        <f t="shared" si="14"/>
        <v>1</v>
      </c>
    </row>
    <row r="906" spans="1:11" x14ac:dyDescent="0.35">
      <c r="A906" s="1">
        <v>905</v>
      </c>
      <c r="B906" s="1">
        <v>27</v>
      </c>
      <c r="C906" s="1" t="s">
        <v>11</v>
      </c>
      <c r="D906" s="1">
        <v>60</v>
      </c>
      <c r="E906" s="1">
        <v>11024.42</v>
      </c>
      <c r="F906" s="1">
        <v>4</v>
      </c>
      <c r="G906" s="1">
        <v>0</v>
      </c>
      <c r="H906" s="1">
        <v>0</v>
      </c>
      <c r="I906" s="1">
        <v>72664.05</v>
      </c>
      <c r="J906" s="1">
        <v>0</v>
      </c>
      <c r="K906">
        <f t="shared" si="14"/>
        <v>1</v>
      </c>
    </row>
    <row r="907" spans="1:11" x14ac:dyDescent="0.35">
      <c r="A907" s="1">
        <v>906</v>
      </c>
      <c r="B907" s="1">
        <v>34</v>
      </c>
      <c r="C907" s="1" t="s">
        <v>11</v>
      </c>
      <c r="D907" s="1">
        <v>19</v>
      </c>
      <c r="E907" s="1">
        <v>38124.14</v>
      </c>
      <c r="F907" s="1">
        <v>2</v>
      </c>
      <c r="G907" s="1">
        <v>0</v>
      </c>
      <c r="H907" s="1">
        <v>0</v>
      </c>
      <c r="I907" s="1">
        <v>20352.060000000001</v>
      </c>
      <c r="J907" s="1">
        <v>0</v>
      </c>
      <c r="K907">
        <f t="shared" si="14"/>
        <v>1</v>
      </c>
    </row>
    <row r="908" spans="1:11" x14ac:dyDescent="0.35">
      <c r="A908" s="1">
        <v>907</v>
      </c>
      <c r="B908" s="1">
        <v>27</v>
      </c>
      <c r="C908" s="1" t="s">
        <v>10</v>
      </c>
      <c r="D908" s="1">
        <v>49</v>
      </c>
      <c r="E908" s="1">
        <v>27123.55</v>
      </c>
      <c r="F908" s="1">
        <v>2</v>
      </c>
      <c r="G908" s="1">
        <v>0</v>
      </c>
      <c r="H908" s="1">
        <v>1</v>
      </c>
      <c r="I908" s="1">
        <v>130493.04</v>
      </c>
      <c r="J908" s="1">
        <v>0</v>
      </c>
      <c r="K908">
        <f t="shared" si="14"/>
        <v>1</v>
      </c>
    </row>
    <row r="909" spans="1:11" x14ac:dyDescent="0.35">
      <c r="A909" s="1">
        <v>908</v>
      </c>
      <c r="B909" s="1">
        <v>34</v>
      </c>
      <c r="C909" s="1" t="s">
        <v>11</v>
      </c>
      <c r="D909" s="1">
        <v>63</v>
      </c>
      <c r="E909" s="1">
        <v>7480.07</v>
      </c>
      <c r="F909" s="1">
        <v>3</v>
      </c>
      <c r="G909" s="1">
        <v>1</v>
      </c>
      <c r="H909" s="1">
        <v>1</v>
      </c>
      <c r="I909" s="1">
        <v>69515.75</v>
      </c>
      <c r="J909" s="1">
        <v>0</v>
      </c>
      <c r="K909">
        <f t="shared" si="14"/>
        <v>1</v>
      </c>
    </row>
    <row r="910" spans="1:11" x14ac:dyDescent="0.35">
      <c r="A910" s="1">
        <v>909</v>
      </c>
      <c r="B910" s="1">
        <v>37</v>
      </c>
      <c r="C910" s="1" t="s">
        <v>11</v>
      </c>
      <c r="D910" s="1">
        <v>22</v>
      </c>
      <c r="E910" s="1">
        <v>19034.48</v>
      </c>
      <c r="F910" s="1">
        <v>4</v>
      </c>
      <c r="G910" s="1">
        <v>0</v>
      </c>
      <c r="H910" s="1">
        <v>0</v>
      </c>
      <c r="I910" s="1">
        <v>84485.55</v>
      </c>
      <c r="J910" s="1">
        <v>0</v>
      </c>
      <c r="K910">
        <f t="shared" si="14"/>
        <v>1</v>
      </c>
    </row>
    <row r="911" spans="1:11" x14ac:dyDescent="0.35">
      <c r="A911" s="1">
        <v>910</v>
      </c>
      <c r="B911" s="1">
        <v>41</v>
      </c>
      <c r="C911" s="1" t="s">
        <v>10</v>
      </c>
      <c r="D911" s="1">
        <v>24</v>
      </c>
      <c r="E911" s="1">
        <v>20723.490000000002</v>
      </c>
      <c r="F911" s="1">
        <v>4</v>
      </c>
      <c r="G911" s="1">
        <v>1</v>
      </c>
      <c r="H911" s="1">
        <v>0</v>
      </c>
      <c r="I911" s="1">
        <v>21009.66</v>
      </c>
      <c r="J911" s="1">
        <v>0</v>
      </c>
      <c r="K911">
        <f t="shared" si="14"/>
        <v>1</v>
      </c>
    </row>
    <row r="912" spans="1:11" x14ac:dyDescent="0.35">
      <c r="A912" s="1">
        <v>911</v>
      </c>
      <c r="B912" s="1">
        <v>22</v>
      </c>
      <c r="C912" s="1" t="s">
        <v>10</v>
      </c>
      <c r="D912" s="1">
        <v>30</v>
      </c>
      <c r="E912" s="1">
        <v>37691.49</v>
      </c>
      <c r="F912" s="1">
        <v>2</v>
      </c>
      <c r="G912" s="1">
        <v>1</v>
      </c>
      <c r="H912" s="1">
        <v>1</v>
      </c>
      <c r="I912" s="1">
        <v>83971.96</v>
      </c>
      <c r="J912" s="1">
        <v>0</v>
      </c>
      <c r="K912">
        <f t="shared" si="14"/>
        <v>1</v>
      </c>
    </row>
    <row r="913" spans="1:11" x14ac:dyDescent="0.35">
      <c r="A913" s="1">
        <v>912</v>
      </c>
      <c r="B913" s="1">
        <v>51</v>
      </c>
      <c r="C913" s="1" t="s">
        <v>11</v>
      </c>
      <c r="D913" s="1">
        <v>58</v>
      </c>
      <c r="E913" s="1">
        <v>1033.57</v>
      </c>
      <c r="F913" s="1">
        <v>2</v>
      </c>
      <c r="G913" s="1">
        <v>1</v>
      </c>
      <c r="H913" s="1">
        <v>0</v>
      </c>
      <c r="I913" s="1">
        <v>148243.35999999999</v>
      </c>
      <c r="J913" s="1">
        <v>0</v>
      </c>
      <c r="K913">
        <f t="shared" si="14"/>
        <v>1</v>
      </c>
    </row>
    <row r="914" spans="1:11" x14ac:dyDescent="0.35">
      <c r="A914" s="1">
        <v>913</v>
      </c>
      <c r="B914" s="1">
        <v>23</v>
      </c>
      <c r="C914" s="1" t="s">
        <v>10</v>
      </c>
      <c r="D914" s="1">
        <v>31</v>
      </c>
      <c r="E914" s="1">
        <v>13450.98</v>
      </c>
      <c r="F914" s="1">
        <v>1</v>
      </c>
      <c r="G914" s="1">
        <v>0</v>
      </c>
      <c r="H914" s="1">
        <v>0</v>
      </c>
      <c r="I914" s="1">
        <v>56174.8</v>
      </c>
      <c r="J914" s="1">
        <v>0</v>
      </c>
      <c r="K914">
        <f t="shared" si="14"/>
        <v>1</v>
      </c>
    </row>
    <row r="915" spans="1:11" x14ac:dyDescent="0.35">
      <c r="A915" s="1">
        <v>914</v>
      </c>
      <c r="B915" s="1">
        <v>19</v>
      </c>
      <c r="C915" s="1" t="s">
        <v>10</v>
      </c>
      <c r="D915" s="1">
        <v>64</v>
      </c>
      <c r="E915" s="1">
        <v>25879.82</v>
      </c>
      <c r="F915" s="1">
        <v>1</v>
      </c>
      <c r="G915" s="1">
        <v>1</v>
      </c>
      <c r="H915" s="1">
        <v>0</v>
      </c>
      <c r="I915" s="1">
        <v>71404.38</v>
      </c>
      <c r="J915" s="1">
        <v>0</v>
      </c>
      <c r="K915">
        <f t="shared" si="14"/>
        <v>1</v>
      </c>
    </row>
    <row r="916" spans="1:11" x14ac:dyDescent="0.35">
      <c r="A916" s="1">
        <v>915</v>
      </c>
      <c r="B916" s="1">
        <v>30</v>
      </c>
      <c r="C916" s="1" t="s">
        <v>10</v>
      </c>
      <c r="D916" s="1">
        <v>19</v>
      </c>
      <c r="E916" s="1">
        <v>13442.34</v>
      </c>
      <c r="F916" s="1">
        <v>2</v>
      </c>
      <c r="G916" s="1">
        <v>0</v>
      </c>
      <c r="H916" s="1">
        <v>0</v>
      </c>
      <c r="I916" s="1">
        <v>109334.7</v>
      </c>
      <c r="J916" s="1">
        <v>0</v>
      </c>
      <c r="K916">
        <f t="shared" si="14"/>
        <v>1</v>
      </c>
    </row>
    <row r="917" spans="1:11" x14ac:dyDescent="0.35">
      <c r="A917" s="1">
        <v>916</v>
      </c>
      <c r="B917" s="1">
        <v>60</v>
      </c>
      <c r="C917" s="1" t="s">
        <v>11</v>
      </c>
      <c r="D917" s="1">
        <v>48</v>
      </c>
      <c r="E917" s="1">
        <v>31421.7</v>
      </c>
      <c r="F917" s="1">
        <v>1</v>
      </c>
      <c r="G917" s="1">
        <v>0</v>
      </c>
      <c r="H917" s="1">
        <v>0</v>
      </c>
      <c r="I917" s="1">
        <v>125923.18</v>
      </c>
      <c r="J917" s="1">
        <v>0</v>
      </c>
      <c r="K917">
        <f t="shared" si="14"/>
        <v>1</v>
      </c>
    </row>
    <row r="918" spans="1:11" x14ac:dyDescent="0.35">
      <c r="A918" s="1">
        <v>917</v>
      </c>
      <c r="B918" s="1">
        <v>60</v>
      </c>
      <c r="C918" s="1" t="s">
        <v>11</v>
      </c>
      <c r="D918" s="1">
        <v>45</v>
      </c>
      <c r="E918" s="1">
        <v>24093.37</v>
      </c>
      <c r="F918" s="1">
        <v>1</v>
      </c>
      <c r="G918" s="1">
        <v>0</v>
      </c>
      <c r="H918" s="1">
        <v>0</v>
      </c>
      <c r="I918" s="1">
        <v>74260.91</v>
      </c>
      <c r="J918" s="1">
        <v>0</v>
      </c>
      <c r="K918">
        <f t="shared" si="14"/>
        <v>1</v>
      </c>
    </row>
    <row r="919" spans="1:11" x14ac:dyDescent="0.35">
      <c r="A919" s="1">
        <v>918</v>
      </c>
      <c r="B919" s="1">
        <v>65</v>
      </c>
      <c r="C919" s="1" t="s">
        <v>10</v>
      </c>
      <c r="D919" s="1">
        <v>55</v>
      </c>
      <c r="E919" s="1">
        <v>18085.509999999998</v>
      </c>
      <c r="F919" s="1">
        <v>2</v>
      </c>
      <c r="G919" s="1">
        <v>0</v>
      </c>
      <c r="H919" s="1">
        <v>0</v>
      </c>
      <c r="I919" s="1">
        <v>60256.95</v>
      </c>
      <c r="J919" s="1">
        <v>0</v>
      </c>
      <c r="K919">
        <f t="shared" si="14"/>
        <v>1</v>
      </c>
    </row>
    <row r="920" spans="1:11" x14ac:dyDescent="0.35">
      <c r="A920" s="1">
        <v>919</v>
      </c>
      <c r="B920" s="1">
        <v>28</v>
      </c>
      <c r="C920" s="1" t="s">
        <v>11</v>
      </c>
      <c r="D920" s="1">
        <v>55</v>
      </c>
      <c r="E920" s="1">
        <v>47460.43</v>
      </c>
      <c r="F920" s="1">
        <v>2</v>
      </c>
      <c r="G920" s="1">
        <v>0</v>
      </c>
      <c r="H920" s="1">
        <v>0</v>
      </c>
      <c r="I920" s="1">
        <v>141917.35</v>
      </c>
      <c r="J920" s="1">
        <v>0</v>
      </c>
      <c r="K920">
        <f t="shared" si="14"/>
        <v>1</v>
      </c>
    </row>
    <row r="921" spans="1:11" x14ac:dyDescent="0.35">
      <c r="A921" s="1">
        <v>920</v>
      </c>
      <c r="B921" s="1">
        <v>68</v>
      </c>
      <c r="C921" s="1" t="s">
        <v>10</v>
      </c>
      <c r="D921" s="1">
        <v>18</v>
      </c>
      <c r="E921" s="1">
        <v>31607.97</v>
      </c>
      <c r="F921" s="1">
        <v>4</v>
      </c>
      <c r="G921" s="1">
        <v>1</v>
      </c>
      <c r="H921" s="1">
        <v>0</v>
      </c>
      <c r="I921" s="1">
        <v>108028.85</v>
      </c>
      <c r="J921" s="1">
        <v>0</v>
      </c>
      <c r="K921">
        <f t="shared" si="14"/>
        <v>1</v>
      </c>
    </row>
    <row r="922" spans="1:11" x14ac:dyDescent="0.35">
      <c r="A922" s="1">
        <v>921</v>
      </c>
      <c r="B922" s="1">
        <v>64</v>
      </c>
      <c r="C922" s="1" t="s">
        <v>11</v>
      </c>
      <c r="D922" s="1">
        <v>63</v>
      </c>
      <c r="E922" s="1">
        <v>6497.07</v>
      </c>
      <c r="F922" s="1">
        <v>2</v>
      </c>
      <c r="G922" s="1">
        <v>1</v>
      </c>
      <c r="H922" s="1">
        <v>1</v>
      </c>
      <c r="I922" s="1">
        <v>35472.769999999997</v>
      </c>
      <c r="J922" s="1">
        <v>0</v>
      </c>
      <c r="K922">
        <f t="shared" si="14"/>
        <v>1</v>
      </c>
    </row>
    <row r="923" spans="1:11" x14ac:dyDescent="0.35">
      <c r="A923" s="1">
        <v>922</v>
      </c>
      <c r="B923" s="1">
        <v>40</v>
      </c>
      <c r="C923" s="1" t="s">
        <v>10</v>
      </c>
      <c r="D923" s="1">
        <v>47</v>
      </c>
      <c r="E923" s="1">
        <v>28004.58</v>
      </c>
      <c r="F923" s="1">
        <v>2</v>
      </c>
      <c r="G923" s="1">
        <v>0</v>
      </c>
      <c r="H923" s="1">
        <v>1</v>
      </c>
      <c r="I923" s="1">
        <v>28960.62</v>
      </c>
      <c r="J923" s="1">
        <v>0</v>
      </c>
      <c r="K923">
        <f t="shared" si="14"/>
        <v>1</v>
      </c>
    </row>
    <row r="924" spans="1:11" x14ac:dyDescent="0.35">
      <c r="A924" s="1">
        <v>923</v>
      </c>
      <c r="B924" s="1">
        <v>33</v>
      </c>
      <c r="C924" s="1" t="s">
        <v>10</v>
      </c>
      <c r="D924" s="1">
        <v>57</v>
      </c>
      <c r="E924" s="1">
        <v>39036.589999999997</v>
      </c>
      <c r="F924" s="1">
        <v>3</v>
      </c>
      <c r="G924" s="1">
        <v>1</v>
      </c>
      <c r="H924" s="1">
        <v>1</v>
      </c>
      <c r="I924" s="1">
        <v>82861.48</v>
      </c>
      <c r="J924" s="1">
        <v>0</v>
      </c>
      <c r="K924">
        <f t="shared" si="14"/>
        <v>1</v>
      </c>
    </row>
    <row r="925" spans="1:11" x14ac:dyDescent="0.35">
      <c r="A925" s="1">
        <v>924</v>
      </c>
      <c r="B925" s="1">
        <v>48</v>
      </c>
      <c r="C925" s="1" t="s">
        <v>11</v>
      </c>
      <c r="D925" s="1">
        <v>45</v>
      </c>
      <c r="E925" s="1">
        <v>35424.480000000003</v>
      </c>
      <c r="F925" s="1">
        <v>4</v>
      </c>
      <c r="G925" s="1">
        <v>0</v>
      </c>
      <c r="H925" s="1">
        <v>0</v>
      </c>
      <c r="I925" s="1">
        <v>48611.71</v>
      </c>
      <c r="J925" s="1">
        <v>0</v>
      </c>
      <c r="K925">
        <f t="shared" si="14"/>
        <v>1</v>
      </c>
    </row>
    <row r="926" spans="1:11" x14ac:dyDescent="0.35">
      <c r="A926" s="1">
        <v>925</v>
      </c>
      <c r="B926" s="1">
        <v>28</v>
      </c>
      <c r="C926" s="1" t="s">
        <v>10</v>
      </c>
      <c r="D926" s="1">
        <v>33</v>
      </c>
      <c r="E926" s="1">
        <v>8604.4599999999991</v>
      </c>
      <c r="F926" s="1">
        <v>4</v>
      </c>
      <c r="G926" s="1">
        <v>1</v>
      </c>
      <c r="H926" s="1">
        <v>0</v>
      </c>
      <c r="I926" s="1">
        <v>53018.02</v>
      </c>
      <c r="J926" s="1">
        <v>0</v>
      </c>
      <c r="K926">
        <f t="shared" si="14"/>
        <v>1</v>
      </c>
    </row>
    <row r="927" spans="1:11" x14ac:dyDescent="0.35">
      <c r="A927" s="1">
        <v>926</v>
      </c>
      <c r="B927" s="1">
        <v>33</v>
      </c>
      <c r="C927" s="1" t="s">
        <v>11</v>
      </c>
      <c r="D927" s="1">
        <v>17</v>
      </c>
      <c r="E927" s="1">
        <v>48621</v>
      </c>
      <c r="F927" s="1">
        <v>4</v>
      </c>
      <c r="G927" s="1">
        <v>1</v>
      </c>
      <c r="H927" s="1">
        <v>1</v>
      </c>
      <c r="I927" s="1">
        <v>134099.98000000001</v>
      </c>
      <c r="J927" s="1">
        <v>0</v>
      </c>
      <c r="K927">
        <f t="shared" si="14"/>
        <v>1</v>
      </c>
    </row>
    <row r="928" spans="1:11" x14ac:dyDescent="0.35">
      <c r="A928" s="1">
        <v>927</v>
      </c>
      <c r="B928" s="1">
        <v>25</v>
      </c>
      <c r="C928" s="1" t="s">
        <v>11</v>
      </c>
      <c r="D928" s="1">
        <v>70</v>
      </c>
      <c r="E928" s="1">
        <v>22440.68</v>
      </c>
      <c r="F928" s="1">
        <v>3</v>
      </c>
      <c r="G928" s="1">
        <v>1</v>
      </c>
      <c r="H928" s="1">
        <v>0</v>
      </c>
      <c r="I928" s="1">
        <v>31643.58</v>
      </c>
      <c r="J928" s="1">
        <v>0</v>
      </c>
      <c r="K928">
        <f t="shared" si="14"/>
        <v>1</v>
      </c>
    </row>
    <row r="929" spans="1:11" x14ac:dyDescent="0.35">
      <c r="A929" s="1">
        <v>928</v>
      </c>
      <c r="B929" s="1">
        <v>21</v>
      </c>
      <c r="C929" s="1" t="s">
        <v>10</v>
      </c>
      <c r="D929" s="1">
        <v>4</v>
      </c>
      <c r="E929" s="1">
        <v>7951.25</v>
      </c>
      <c r="F929" s="1">
        <v>2</v>
      </c>
      <c r="G929" s="1">
        <v>1</v>
      </c>
      <c r="H929" s="1">
        <v>1</v>
      </c>
      <c r="I929" s="1">
        <v>112997.33</v>
      </c>
      <c r="J929" s="1">
        <v>0</v>
      </c>
      <c r="K929">
        <f t="shared" si="14"/>
        <v>1</v>
      </c>
    </row>
    <row r="930" spans="1:11" x14ac:dyDescent="0.35">
      <c r="A930" s="1">
        <v>929</v>
      </c>
      <c r="B930" s="1">
        <v>57</v>
      </c>
      <c r="C930" s="1" t="s">
        <v>10</v>
      </c>
      <c r="D930" s="1">
        <v>20</v>
      </c>
      <c r="E930" s="1">
        <v>9009.7900000000009</v>
      </c>
      <c r="F930" s="1">
        <v>4</v>
      </c>
      <c r="G930" s="1">
        <v>1</v>
      </c>
      <c r="H930" s="1">
        <v>0</v>
      </c>
      <c r="I930" s="1">
        <v>55248.49</v>
      </c>
      <c r="J930" s="1">
        <v>0</v>
      </c>
      <c r="K930">
        <f t="shared" si="14"/>
        <v>1</v>
      </c>
    </row>
    <row r="931" spans="1:11" x14ac:dyDescent="0.35">
      <c r="A931" s="1">
        <v>930</v>
      </c>
      <c r="B931" s="1">
        <v>21</v>
      </c>
      <c r="C931" s="1" t="s">
        <v>11</v>
      </c>
      <c r="D931" s="1">
        <v>47</v>
      </c>
      <c r="E931" s="1">
        <v>4911.75</v>
      </c>
      <c r="F931" s="1">
        <v>4</v>
      </c>
      <c r="G931" s="1">
        <v>0</v>
      </c>
      <c r="H931" s="1">
        <v>1</v>
      </c>
      <c r="I931" s="1">
        <v>118842.67</v>
      </c>
      <c r="J931" s="1">
        <v>0</v>
      </c>
      <c r="K931">
        <f t="shared" si="14"/>
        <v>1</v>
      </c>
    </row>
    <row r="932" spans="1:11" x14ac:dyDescent="0.35">
      <c r="A932" s="1">
        <v>931</v>
      </c>
      <c r="B932" s="1">
        <v>42</v>
      </c>
      <c r="C932" s="1" t="s">
        <v>10</v>
      </c>
      <c r="D932" s="1">
        <v>15</v>
      </c>
      <c r="E932" s="1">
        <v>40175.910000000003</v>
      </c>
      <c r="F932" s="1">
        <v>1</v>
      </c>
      <c r="G932" s="1">
        <v>0</v>
      </c>
      <c r="H932" s="1">
        <v>1</v>
      </c>
      <c r="I932" s="1">
        <v>113913.48</v>
      </c>
      <c r="J932" s="1">
        <v>0</v>
      </c>
      <c r="K932">
        <f t="shared" si="14"/>
        <v>1</v>
      </c>
    </row>
    <row r="933" spans="1:11" x14ac:dyDescent="0.35">
      <c r="A933" s="1">
        <v>932</v>
      </c>
      <c r="B933" s="1">
        <v>20</v>
      </c>
      <c r="C933" s="1" t="s">
        <v>10</v>
      </c>
      <c r="D933" s="1">
        <v>70</v>
      </c>
      <c r="E933" s="1">
        <v>6101.52</v>
      </c>
      <c r="F933" s="1">
        <v>4</v>
      </c>
      <c r="G933" s="1">
        <v>1</v>
      </c>
      <c r="H933" s="1">
        <v>1</v>
      </c>
      <c r="I933" s="1">
        <v>20960.95</v>
      </c>
      <c r="J933" s="1">
        <v>0</v>
      </c>
      <c r="K933">
        <f t="shared" si="14"/>
        <v>1</v>
      </c>
    </row>
    <row r="934" spans="1:11" x14ac:dyDescent="0.35">
      <c r="A934" s="1">
        <v>933</v>
      </c>
      <c r="B934" s="1">
        <v>49</v>
      </c>
      <c r="C934" s="1" t="s">
        <v>10</v>
      </c>
      <c r="D934" s="1">
        <v>47</v>
      </c>
      <c r="E934" s="1">
        <v>6256.26</v>
      </c>
      <c r="F934" s="1">
        <v>2</v>
      </c>
      <c r="G934" s="1">
        <v>0</v>
      </c>
      <c r="H934" s="1">
        <v>0</v>
      </c>
      <c r="I934" s="1">
        <v>86187.6</v>
      </c>
      <c r="J934" s="1">
        <v>0</v>
      </c>
      <c r="K934">
        <f t="shared" si="14"/>
        <v>1</v>
      </c>
    </row>
    <row r="935" spans="1:11" x14ac:dyDescent="0.35">
      <c r="A935" s="1">
        <v>934</v>
      </c>
      <c r="B935" s="1">
        <v>20</v>
      </c>
      <c r="C935" s="1" t="s">
        <v>10</v>
      </c>
      <c r="D935" s="1">
        <v>9</v>
      </c>
      <c r="E935" s="1">
        <v>42523.58</v>
      </c>
      <c r="F935" s="1">
        <v>2</v>
      </c>
      <c r="G935" s="1">
        <v>1</v>
      </c>
      <c r="H935" s="1">
        <v>1</v>
      </c>
      <c r="I935" s="1">
        <v>38111.53</v>
      </c>
      <c r="J935" s="1">
        <v>0</v>
      </c>
      <c r="K935">
        <f t="shared" si="14"/>
        <v>1</v>
      </c>
    </row>
    <row r="936" spans="1:11" x14ac:dyDescent="0.35">
      <c r="A936" s="1">
        <v>935</v>
      </c>
      <c r="B936" s="1">
        <v>44</v>
      </c>
      <c r="C936" s="1" t="s">
        <v>10</v>
      </c>
      <c r="D936" s="1">
        <v>16</v>
      </c>
      <c r="E936" s="1">
        <v>17230.2</v>
      </c>
      <c r="F936" s="1">
        <v>1</v>
      </c>
      <c r="G936" s="1">
        <v>0</v>
      </c>
      <c r="H936" s="1">
        <v>0</v>
      </c>
      <c r="I936" s="1">
        <v>132609.51</v>
      </c>
      <c r="J936" s="1">
        <v>0</v>
      </c>
      <c r="K936">
        <f t="shared" si="14"/>
        <v>1</v>
      </c>
    </row>
    <row r="937" spans="1:11" x14ac:dyDescent="0.35">
      <c r="A937" s="1">
        <v>936</v>
      </c>
      <c r="B937" s="1">
        <v>46</v>
      </c>
      <c r="C937" s="1" t="s">
        <v>11</v>
      </c>
      <c r="D937" s="1">
        <v>69</v>
      </c>
      <c r="E937" s="1">
        <v>1542.9</v>
      </c>
      <c r="F937" s="1">
        <v>4</v>
      </c>
      <c r="G937" s="1">
        <v>1</v>
      </c>
      <c r="H937" s="1">
        <v>0</v>
      </c>
      <c r="I937" s="1">
        <v>133306.16</v>
      </c>
      <c r="J937" s="1">
        <v>0</v>
      </c>
      <c r="K937">
        <f t="shared" si="14"/>
        <v>1</v>
      </c>
    </row>
    <row r="938" spans="1:11" x14ac:dyDescent="0.35">
      <c r="A938" s="1">
        <v>937</v>
      </c>
      <c r="B938" s="1">
        <v>49</v>
      </c>
      <c r="C938" s="1" t="s">
        <v>11</v>
      </c>
      <c r="D938" s="1">
        <v>61</v>
      </c>
      <c r="E938" s="1">
        <v>2594.7600000000002</v>
      </c>
      <c r="F938" s="1">
        <v>4</v>
      </c>
      <c r="G938" s="1">
        <v>1</v>
      </c>
      <c r="H938" s="1">
        <v>0</v>
      </c>
      <c r="I938" s="1">
        <v>74384.95</v>
      </c>
      <c r="J938" s="1">
        <v>0</v>
      </c>
      <c r="K938">
        <f t="shared" si="14"/>
        <v>1</v>
      </c>
    </row>
    <row r="939" spans="1:11" x14ac:dyDescent="0.35">
      <c r="A939" s="1">
        <v>938</v>
      </c>
      <c r="B939" s="1">
        <v>67</v>
      </c>
      <c r="C939" s="1" t="s">
        <v>10</v>
      </c>
      <c r="D939" s="1">
        <v>10</v>
      </c>
      <c r="E939" s="1">
        <v>7108.52</v>
      </c>
      <c r="F939" s="1">
        <v>4</v>
      </c>
      <c r="G939" s="1">
        <v>1</v>
      </c>
      <c r="H939" s="1">
        <v>0</v>
      </c>
      <c r="I939" s="1">
        <v>77771.429999999993</v>
      </c>
      <c r="J939" s="1">
        <v>1</v>
      </c>
      <c r="K939">
        <f t="shared" si="14"/>
        <v>1</v>
      </c>
    </row>
    <row r="940" spans="1:11" x14ac:dyDescent="0.35">
      <c r="A940" s="1">
        <v>939</v>
      </c>
      <c r="B940" s="1">
        <v>68</v>
      </c>
      <c r="C940" s="1" t="s">
        <v>10</v>
      </c>
      <c r="D940" s="1">
        <v>50</v>
      </c>
      <c r="E940" s="1">
        <v>10669.67</v>
      </c>
      <c r="F940" s="1">
        <v>3</v>
      </c>
      <c r="G940" s="1">
        <v>0</v>
      </c>
      <c r="H940" s="1">
        <v>0</v>
      </c>
      <c r="I940" s="1">
        <v>59426.78</v>
      </c>
      <c r="J940" s="1">
        <v>0</v>
      </c>
      <c r="K940">
        <f t="shared" si="14"/>
        <v>1</v>
      </c>
    </row>
    <row r="941" spans="1:11" x14ac:dyDescent="0.35">
      <c r="A941" s="1">
        <v>940</v>
      </c>
      <c r="B941" s="1">
        <v>36</v>
      </c>
      <c r="C941" s="1" t="s">
        <v>10</v>
      </c>
      <c r="D941" s="1">
        <v>3</v>
      </c>
      <c r="E941" s="1">
        <v>33257.31</v>
      </c>
      <c r="F941" s="1">
        <v>4</v>
      </c>
      <c r="G941" s="1">
        <v>0</v>
      </c>
      <c r="H941" s="1">
        <v>0</v>
      </c>
      <c r="I941" s="1">
        <v>113158.82</v>
      </c>
      <c r="J941" s="1">
        <v>0</v>
      </c>
      <c r="K941">
        <f t="shared" si="14"/>
        <v>1</v>
      </c>
    </row>
    <row r="942" spans="1:11" x14ac:dyDescent="0.35">
      <c r="A942" s="1">
        <v>941</v>
      </c>
      <c r="B942" s="1">
        <v>38</v>
      </c>
      <c r="C942" s="1" t="s">
        <v>11</v>
      </c>
      <c r="D942" s="1">
        <v>70</v>
      </c>
      <c r="E942" s="1">
        <v>7866.31</v>
      </c>
      <c r="F942" s="1">
        <v>2</v>
      </c>
      <c r="G942" s="1">
        <v>1</v>
      </c>
      <c r="H942" s="1">
        <v>0</v>
      </c>
      <c r="I942" s="1">
        <v>66625.98</v>
      </c>
      <c r="J942" s="1">
        <v>0</v>
      </c>
      <c r="K942">
        <f t="shared" si="14"/>
        <v>1</v>
      </c>
    </row>
    <row r="943" spans="1:11" x14ac:dyDescent="0.35">
      <c r="A943" s="1">
        <v>942</v>
      </c>
      <c r="B943" s="1">
        <v>22</v>
      </c>
      <c r="C943" s="1" t="s">
        <v>10</v>
      </c>
      <c r="D943" s="1">
        <v>51</v>
      </c>
      <c r="E943" s="1">
        <v>5943.72</v>
      </c>
      <c r="F943" s="1">
        <v>2</v>
      </c>
      <c r="G943" s="1">
        <v>1</v>
      </c>
      <c r="H943" s="1">
        <v>1</v>
      </c>
      <c r="I943" s="1">
        <v>54813.02</v>
      </c>
      <c r="J943" s="1">
        <v>0</v>
      </c>
      <c r="K943">
        <f t="shared" si="14"/>
        <v>1</v>
      </c>
    </row>
    <row r="944" spans="1:11" x14ac:dyDescent="0.35">
      <c r="A944" s="1">
        <v>943</v>
      </c>
      <c r="B944" s="1">
        <v>35</v>
      </c>
      <c r="C944" s="1" t="s">
        <v>11</v>
      </c>
      <c r="D944" s="1">
        <v>19</v>
      </c>
      <c r="E944" s="1">
        <v>38235.96</v>
      </c>
      <c r="F944" s="1">
        <v>3</v>
      </c>
      <c r="G944" s="1">
        <v>0</v>
      </c>
      <c r="H944" s="1">
        <v>1</v>
      </c>
      <c r="I944" s="1">
        <v>76190.039999999994</v>
      </c>
      <c r="J944" s="1">
        <v>0</v>
      </c>
      <c r="K944">
        <f t="shared" si="14"/>
        <v>1</v>
      </c>
    </row>
    <row r="945" spans="1:11" x14ac:dyDescent="0.35">
      <c r="A945" s="1">
        <v>944</v>
      </c>
      <c r="B945" s="1">
        <v>45</v>
      </c>
      <c r="C945" s="1" t="s">
        <v>11</v>
      </c>
      <c r="D945" s="1">
        <v>42</v>
      </c>
      <c r="E945" s="1">
        <v>33552.76</v>
      </c>
      <c r="F945" s="1">
        <v>3</v>
      </c>
      <c r="G945" s="1">
        <v>0</v>
      </c>
      <c r="H945" s="1">
        <v>1</v>
      </c>
      <c r="I945" s="1">
        <v>31893.38</v>
      </c>
      <c r="J945" s="1">
        <v>0</v>
      </c>
      <c r="K945">
        <f t="shared" si="14"/>
        <v>1</v>
      </c>
    </row>
    <row r="946" spans="1:11" x14ac:dyDescent="0.35">
      <c r="A946" s="1">
        <v>945</v>
      </c>
      <c r="B946" s="1">
        <v>59</v>
      </c>
      <c r="C946" s="1" t="s">
        <v>11</v>
      </c>
      <c r="D946" s="1">
        <v>35</v>
      </c>
      <c r="E946" s="1">
        <v>21766.21</v>
      </c>
      <c r="F946" s="1">
        <v>4</v>
      </c>
      <c r="G946" s="1">
        <v>0</v>
      </c>
      <c r="H946" s="1">
        <v>0</v>
      </c>
      <c r="I946" s="1">
        <v>117058.42</v>
      </c>
      <c r="J946" s="1">
        <v>0</v>
      </c>
      <c r="K946">
        <f t="shared" si="14"/>
        <v>1</v>
      </c>
    </row>
    <row r="947" spans="1:11" x14ac:dyDescent="0.35">
      <c r="A947" s="1">
        <v>946</v>
      </c>
      <c r="B947" s="1">
        <v>39</v>
      </c>
      <c r="C947" s="1" t="s">
        <v>10</v>
      </c>
      <c r="D947" s="1">
        <v>46</v>
      </c>
      <c r="E947" s="1">
        <v>27465.49</v>
      </c>
      <c r="F947" s="1">
        <v>1</v>
      </c>
      <c r="G947" s="1">
        <v>0</v>
      </c>
      <c r="H947" s="1">
        <v>0</v>
      </c>
      <c r="I947" s="1">
        <v>21637.53</v>
      </c>
      <c r="J947" s="1">
        <v>0</v>
      </c>
      <c r="K947">
        <f t="shared" si="14"/>
        <v>1</v>
      </c>
    </row>
    <row r="948" spans="1:11" x14ac:dyDescent="0.35">
      <c r="A948" s="1">
        <v>947</v>
      </c>
      <c r="B948" s="1">
        <v>38</v>
      </c>
      <c r="C948" s="1" t="s">
        <v>11</v>
      </c>
      <c r="D948" s="1">
        <v>26</v>
      </c>
      <c r="E948" s="1">
        <v>15599.2</v>
      </c>
      <c r="F948" s="1">
        <v>3</v>
      </c>
      <c r="G948" s="1">
        <v>0</v>
      </c>
      <c r="H948" s="1">
        <v>0</v>
      </c>
      <c r="I948" s="1">
        <v>103783.06</v>
      </c>
      <c r="J948" s="1">
        <v>0</v>
      </c>
      <c r="K948">
        <f t="shared" si="14"/>
        <v>1</v>
      </c>
    </row>
    <row r="949" spans="1:11" x14ac:dyDescent="0.35">
      <c r="A949" s="1">
        <v>948</v>
      </c>
      <c r="B949" s="1">
        <v>23</v>
      </c>
      <c r="C949" s="1" t="s">
        <v>10</v>
      </c>
      <c r="D949" s="1">
        <v>69</v>
      </c>
      <c r="E949" s="1">
        <v>24125.02</v>
      </c>
      <c r="F949" s="1">
        <v>3</v>
      </c>
      <c r="G949" s="1">
        <v>1</v>
      </c>
      <c r="H949" s="1">
        <v>0</v>
      </c>
      <c r="I949" s="1">
        <v>43772.39</v>
      </c>
      <c r="J949" s="1">
        <v>0</v>
      </c>
      <c r="K949">
        <f t="shared" si="14"/>
        <v>1</v>
      </c>
    </row>
    <row r="950" spans="1:11" x14ac:dyDescent="0.35">
      <c r="A950" s="1">
        <v>949</v>
      </c>
      <c r="B950" s="1">
        <v>18</v>
      </c>
      <c r="C950" s="1" t="s">
        <v>11</v>
      </c>
      <c r="D950" s="1">
        <v>64</v>
      </c>
      <c r="E950" s="1">
        <v>25333.63</v>
      </c>
      <c r="F950" s="1">
        <v>4</v>
      </c>
      <c r="G950" s="1">
        <v>0</v>
      </c>
      <c r="H950" s="1">
        <v>1</v>
      </c>
      <c r="I950" s="1">
        <v>50212.53</v>
      </c>
      <c r="J950" s="1">
        <v>0</v>
      </c>
      <c r="K950">
        <f t="shared" si="14"/>
        <v>1</v>
      </c>
    </row>
    <row r="951" spans="1:11" x14ac:dyDescent="0.35">
      <c r="A951" s="1">
        <v>950</v>
      </c>
      <c r="B951" s="1">
        <v>22</v>
      </c>
      <c r="C951" s="1" t="s">
        <v>10</v>
      </c>
      <c r="D951" s="1">
        <v>37</v>
      </c>
      <c r="E951" s="1">
        <v>19361.86</v>
      </c>
      <c r="F951" s="1">
        <v>4</v>
      </c>
      <c r="G951" s="1">
        <v>1</v>
      </c>
      <c r="H951" s="1">
        <v>0</v>
      </c>
      <c r="I951" s="1">
        <v>102632.16</v>
      </c>
      <c r="J951" s="1">
        <v>0</v>
      </c>
      <c r="K951">
        <f t="shared" si="14"/>
        <v>1</v>
      </c>
    </row>
    <row r="952" spans="1:11" x14ac:dyDescent="0.35">
      <c r="A952" s="1">
        <v>951</v>
      </c>
      <c r="B952" s="1">
        <v>58</v>
      </c>
      <c r="C952" s="1" t="s">
        <v>11</v>
      </c>
      <c r="D952" s="1">
        <v>49</v>
      </c>
      <c r="E952" s="1">
        <v>45328.61</v>
      </c>
      <c r="F952" s="1">
        <v>3</v>
      </c>
      <c r="G952" s="1">
        <v>1</v>
      </c>
      <c r="H952" s="1">
        <v>1</v>
      </c>
      <c r="I952" s="1">
        <v>149082.65</v>
      </c>
      <c r="J952" s="1">
        <v>0</v>
      </c>
      <c r="K952">
        <f t="shared" si="14"/>
        <v>1</v>
      </c>
    </row>
    <row r="953" spans="1:11" x14ac:dyDescent="0.35">
      <c r="A953" s="1">
        <v>952</v>
      </c>
      <c r="B953" s="1">
        <v>29</v>
      </c>
      <c r="C953" s="1" t="s">
        <v>10</v>
      </c>
      <c r="D953" s="1">
        <v>21</v>
      </c>
      <c r="E953" s="1">
        <v>803.09</v>
      </c>
      <c r="F953" s="1">
        <v>1</v>
      </c>
      <c r="G953" s="1">
        <v>0</v>
      </c>
      <c r="H953" s="1">
        <v>0</v>
      </c>
      <c r="I953" s="1">
        <v>121103.27</v>
      </c>
      <c r="J953" s="1">
        <v>0</v>
      </c>
      <c r="K953">
        <f t="shared" si="14"/>
        <v>1</v>
      </c>
    </row>
    <row r="954" spans="1:11" x14ac:dyDescent="0.35">
      <c r="A954" s="1">
        <v>953</v>
      </c>
      <c r="B954" s="1">
        <v>43</v>
      </c>
      <c r="C954" s="1" t="s">
        <v>11</v>
      </c>
      <c r="D954" s="1">
        <v>64</v>
      </c>
      <c r="E954" s="1">
        <v>39108.559999999998</v>
      </c>
      <c r="F954" s="1">
        <v>3</v>
      </c>
      <c r="G954" s="1">
        <v>0</v>
      </c>
      <c r="H954" s="1">
        <v>1</v>
      </c>
      <c r="I954" s="1">
        <v>49359.15</v>
      </c>
      <c r="J954" s="1">
        <v>0</v>
      </c>
      <c r="K954">
        <f t="shared" si="14"/>
        <v>1</v>
      </c>
    </row>
    <row r="955" spans="1:11" x14ac:dyDescent="0.35">
      <c r="A955" s="1">
        <v>954</v>
      </c>
      <c r="B955" s="1">
        <v>63</v>
      </c>
      <c r="C955" s="1" t="s">
        <v>10</v>
      </c>
      <c r="D955" s="1">
        <v>5</v>
      </c>
      <c r="E955" s="1">
        <v>6219.14</v>
      </c>
      <c r="F955" s="1">
        <v>4</v>
      </c>
      <c r="G955" s="1">
        <v>1</v>
      </c>
      <c r="H955" s="1">
        <v>0</v>
      </c>
      <c r="I955" s="1">
        <v>42883.22</v>
      </c>
      <c r="J955" s="1">
        <v>1</v>
      </c>
      <c r="K955">
        <f t="shared" si="14"/>
        <v>1</v>
      </c>
    </row>
    <row r="956" spans="1:11" x14ac:dyDescent="0.35">
      <c r="A956" s="1">
        <v>955</v>
      </c>
      <c r="B956" s="1">
        <v>51</v>
      </c>
      <c r="C956" s="1" t="s">
        <v>10</v>
      </c>
      <c r="D956" s="1">
        <v>70</v>
      </c>
      <c r="E956" s="1">
        <v>39877.370000000003</v>
      </c>
      <c r="F956" s="1">
        <v>4</v>
      </c>
      <c r="G956" s="1">
        <v>0</v>
      </c>
      <c r="H956" s="1">
        <v>1</v>
      </c>
      <c r="I956" s="1">
        <v>132610.26999999999</v>
      </c>
      <c r="J956" s="1">
        <v>0</v>
      </c>
      <c r="K956">
        <f t="shared" si="14"/>
        <v>1</v>
      </c>
    </row>
    <row r="957" spans="1:11" x14ac:dyDescent="0.35">
      <c r="A957" s="1">
        <v>956</v>
      </c>
      <c r="B957" s="1">
        <v>66</v>
      </c>
      <c r="C957" s="1" t="s">
        <v>10</v>
      </c>
      <c r="D957" s="1">
        <v>4</v>
      </c>
      <c r="E957" s="1">
        <v>30795.599999999999</v>
      </c>
      <c r="F957" s="1">
        <v>3</v>
      </c>
      <c r="G957" s="1">
        <v>1</v>
      </c>
      <c r="H957" s="1">
        <v>0</v>
      </c>
      <c r="I957" s="1">
        <v>77743.91</v>
      </c>
      <c r="J957" s="1">
        <v>0</v>
      </c>
      <c r="K957">
        <f t="shared" si="14"/>
        <v>1</v>
      </c>
    </row>
    <row r="958" spans="1:11" x14ac:dyDescent="0.35">
      <c r="A958" s="1">
        <v>957</v>
      </c>
      <c r="B958" s="1">
        <v>31</v>
      </c>
      <c r="C958" s="1" t="s">
        <v>10</v>
      </c>
      <c r="D958" s="1">
        <v>39</v>
      </c>
      <c r="E958" s="1">
        <v>42163.9</v>
      </c>
      <c r="F958" s="1">
        <v>1</v>
      </c>
      <c r="G958" s="1">
        <v>0</v>
      </c>
      <c r="H958" s="1">
        <v>1</v>
      </c>
      <c r="I958" s="1">
        <v>37816.86</v>
      </c>
      <c r="J958" s="1">
        <v>0</v>
      </c>
      <c r="K958">
        <f t="shared" si="14"/>
        <v>1</v>
      </c>
    </row>
    <row r="959" spans="1:11" x14ac:dyDescent="0.35">
      <c r="A959" s="1">
        <v>958</v>
      </c>
      <c r="B959" s="1">
        <v>43</v>
      </c>
      <c r="C959" s="1" t="s">
        <v>11</v>
      </c>
      <c r="D959" s="1">
        <v>35</v>
      </c>
      <c r="E959" s="1">
        <v>4875.72</v>
      </c>
      <c r="F959" s="1">
        <v>3</v>
      </c>
      <c r="G959" s="1">
        <v>0</v>
      </c>
      <c r="H959" s="1">
        <v>0</v>
      </c>
      <c r="I959" s="1">
        <v>132087.49</v>
      </c>
      <c r="J959" s="1">
        <v>0</v>
      </c>
      <c r="K959">
        <f t="shared" si="14"/>
        <v>1</v>
      </c>
    </row>
    <row r="960" spans="1:11" x14ac:dyDescent="0.35">
      <c r="A960" s="1">
        <v>959</v>
      </c>
      <c r="B960" s="1">
        <v>62</v>
      </c>
      <c r="C960" s="1" t="s">
        <v>11</v>
      </c>
      <c r="D960" s="1">
        <v>1</v>
      </c>
      <c r="E960" s="1">
        <v>27949.03</v>
      </c>
      <c r="F960" s="1">
        <v>3</v>
      </c>
      <c r="G960" s="1">
        <v>0</v>
      </c>
      <c r="H960" s="1">
        <v>1</v>
      </c>
      <c r="I960" s="1">
        <v>126092.01</v>
      </c>
      <c r="J960" s="1">
        <v>0</v>
      </c>
      <c r="K960">
        <f t="shared" si="14"/>
        <v>1</v>
      </c>
    </row>
    <row r="961" spans="1:11" x14ac:dyDescent="0.35">
      <c r="A961" s="1">
        <v>960</v>
      </c>
      <c r="B961" s="1">
        <v>44</v>
      </c>
      <c r="C961" s="1" t="s">
        <v>10</v>
      </c>
      <c r="D961" s="1">
        <v>24</v>
      </c>
      <c r="E961" s="1">
        <v>25054.39</v>
      </c>
      <c r="F961" s="1">
        <v>4</v>
      </c>
      <c r="G961" s="1">
        <v>1</v>
      </c>
      <c r="H961" s="1">
        <v>1</v>
      </c>
      <c r="I961" s="1">
        <v>147907.82999999999</v>
      </c>
      <c r="J961" s="1">
        <v>0</v>
      </c>
      <c r="K961">
        <f t="shared" si="14"/>
        <v>1</v>
      </c>
    </row>
    <row r="962" spans="1:11" x14ac:dyDescent="0.35">
      <c r="A962" s="1">
        <v>961</v>
      </c>
      <c r="B962" s="1">
        <v>26</v>
      </c>
      <c r="C962" s="1" t="s">
        <v>11</v>
      </c>
      <c r="D962" s="1">
        <v>57</v>
      </c>
      <c r="E962" s="1">
        <v>35309.660000000003</v>
      </c>
      <c r="F962" s="1">
        <v>1</v>
      </c>
      <c r="G962" s="1">
        <v>0</v>
      </c>
      <c r="H962" s="1">
        <v>0</v>
      </c>
      <c r="I962" s="1">
        <v>138266.68</v>
      </c>
      <c r="J962" s="1">
        <v>0</v>
      </c>
      <c r="K962">
        <f t="shared" si="14"/>
        <v>1</v>
      </c>
    </row>
    <row r="963" spans="1:11" x14ac:dyDescent="0.35">
      <c r="A963" s="1">
        <v>962</v>
      </c>
      <c r="B963" s="1">
        <v>43</v>
      </c>
      <c r="C963" s="1" t="s">
        <v>10</v>
      </c>
      <c r="D963" s="1">
        <v>70</v>
      </c>
      <c r="E963" s="1">
        <v>26714.53</v>
      </c>
      <c r="F963" s="1">
        <v>2</v>
      </c>
      <c r="G963" s="1">
        <v>1</v>
      </c>
      <c r="H963" s="1">
        <v>1</v>
      </c>
      <c r="I963" s="1">
        <v>130732.74</v>
      </c>
      <c r="J963" s="1">
        <v>0</v>
      </c>
      <c r="K963">
        <f t="shared" ref="K963:K1001" si="15">COUNTIF($A$2:$A$1001,A963)</f>
        <v>1</v>
      </c>
    </row>
    <row r="964" spans="1:11" x14ac:dyDescent="0.35">
      <c r="A964" s="1">
        <v>963</v>
      </c>
      <c r="B964" s="1">
        <v>64</v>
      </c>
      <c r="C964" s="1" t="s">
        <v>10</v>
      </c>
      <c r="D964" s="1">
        <v>41</v>
      </c>
      <c r="E964" s="1">
        <v>27036.73</v>
      </c>
      <c r="F964" s="1">
        <v>1</v>
      </c>
      <c r="G964" s="1">
        <v>0</v>
      </c>
      <c r="H964" s="1">
        <v>0</v>
      </c>
      <c r="I964" s="1">
        <v>26834.67</v>
      </c>
      <c r="J964" s="1">
        <v>0</v>
      </c>
      <c r="K964">
        <f t="shared" si="15"/>
        <v>1</v>
      </c>
    </row>
    <row r="965" spans="1:11" x14ac:dyDescent="0.35">
      <c r="A965" s="1">
        <v>964</v>
      </c>
      <c r="B965" s="1">
        <v>39</v>
      </c>
      <c r="C965" s="1" t="s">
        <v>11</v>
      </c>
      <c r="D965" s="1">
        <v>54</v>
      </c>
      <c r="E965" s="1">
        <v>21479.8</v>
      </c>
      <c r="F965" s="1">
        <v>3</v>
      </c>
      <c r="G965" s="1">
        <v>1</v>
      </c>
      <c r="H965" s="1">
        <v>0</v>
      </c>
      <c r="I965" s="1">
        <v>33574</v>
      </c>
      <c r="J965" s="1">
        <v>0</v>
      </c>
      <c r="K965">
        <f t="shared" si="15"/>
        <v>1</v>
      </c>
    </row>
    <row r="966" spans="1:11" x14ac:dyDescent="0.35">
      <c r="A966" s="1">
        <v>965</v>
      </c>
      <c r="B966" s="1">
        <v>64</v>
      </c>
      <c r="C966" s="1" t="s">
        <v>10</v>
      </c>
      <c r="D966" s="1">
        <v>46</v>
      </c>
      <c r="E966" s="1">
        <v>15441.72</v>
      </c>
      <c r="F966" s="1">
        <v>3</v>
      </c>
      <c r="G966" s="1">
        <v>0</v>
      </c>
      <c r="H966" s="1">
        <v>0</v>
      </c>
      <c r="I966" s="1">
        <v>93967.82</v>
      </c>
      <c r="J966" s="1">
        <v>0</v>
      </c>
      <c r="K966">
        <f t="shared" si="15"/>
        <v>1</v>
      </c>
    </row>
    <row r="967" spans="1:11" x14ac:dyDescent="0.35">
      <c r="A967" s="1">
        <v>966</v>
      </c>
      <c r="B967" s="1">
        <v>47</v>
      </c>
      <c r="C967" s="1" t="s">
        <v>10</v>
      </c>
      <c r="D967" s="1">
        <v>60</v>
      </c>
      <c r="E967" s="1">
        <v>24113.22</v>
      </c>
      <c r="F967" s="1">
        <v>3</v>
      </c>
      <c r="G967" s="1">
        <v>1</v>
      </c>
      <c r="H967" s="1">
        <v>1</v>
      </c>
      <c r="I967" s="1">
        <v>89092.3</v>
      </c>
      <c r="J967" s="1">
        <v>0</v>
      </c>
      <c r="K967">
        <f t="shared" si="15"/>
        <v>1</v>
      </c>
    </row>
    <row r="968" spans="1:11" x14ac:dyDescent="0.35">
      <c r="A968" s="1">
        <v>967</v>
      </c>
      <c r="B968" s="1">
        <v>60</v>
      </c>
      <c r="C968" s="1" t="s">
        <v>11</v>
      </c>
      <c r="D968" s="1">
        <v>60</v>
      </c>
      <c r="E968" s="1">
        <v>5924.62</v>
      </c>
      <c r="F968" s="1">
        <v>1</v>
      </c>
      <c r="G968" s="1">
        <v>1</v>
      </c>
      <c r="H968" s="1">
        <v>1</v>
      </c>
      <c r="I968" s="1">
        <v>79535.22</v>
      </c>
      <c r="J968" s="1">
        <v>0</v>
      </c>
      <c r="K968">
        <f t="shared" si="15"/>
        <v>1</v>
      </c>
    </row>
    <row r="969" spans="1:11" x14ac:dyDescent="0.35">
      <c r="A969" s="1">
        <v>968</v>
      </c>
      <c r="B969" s="1">
        <v>65</v>
      </c>
      <c r="C969" s="1" t="s">
        <v>10</v>
      </c>
      <c r="D969" s="1">
        <v>57</v>
      </c>
      <c r="E969" s="1">
        <v>48075.67</v>
      </c>
      <c r="F969" s="1">
        <v>4</v>
      </c>
      <c r="G969" s="1">
        <v>1</v>
      </c>
      <c r="H969" s="1">
        <v>0</v>
      </c>
      <c r="I969" s="1">
        <v>71582.61</v>
      </c>
      <c r="J969" s="1">
        <v>0</v>
      </c>
      <c r="K969">
        <f t="shared" si="15"/>
        <v>1</v>
      </c>
    </row>
    <row r="970" spans="1:11" x14ac:dyDescent="0.35">
      <c r="A970" s="1">
        <v>969</v>
      </c>
      <c r="B970" s="1">
        <v>34</v>
      </c>
      <c r="C970" s="1" t="s">
        <v>10</v>
      </c>
      <c r="D970" s="1">
        <v>31</v>
      </c>
      <c r="E970" s="1">
        <v>35720.54</v>
      </c>
      <c r="F970" s="1">
        <v>3</v>
      </c>
      <c r="G970" s="1">
        <v>1</v>
      </c>
      <c r="H970" s="1">
        <v>0</v>
      </c>
      <c r="I970" s="1">
        <v>76057.36</v>
      </c>
      <c r="J970" s="1">
        <v>0</v>
      </c>
      <c r="K970">
        <f t="shared" si="15"/>
        <v>1</v>
      </c>
    </row>
    <row r="971" spans="1:11" x14ac:dyDescent="0.35">
      <c r="A971" s="1">
        <v>970</v>
      </c>
      <c r="B971" s="1">
        <v>43</v>
      </c>
      <c r="C971" s="1" t="s">
        <v>10</v>
      </c>
      <c r="D971" s="1">
        <v>24</v>
      </c>
      <c r="E971" s="1">
        <v>47623.360000000001</v>
      </c>
      <c r="F971" s="1">
        <v>3</v>
      </c>
      <c r="G971" s="1">
        <v>1</v>
      </c>
      <c r="H971" s="1">
        <v>1</v>
      </c>
      <c r="I971" s="1">
        <v>94008.73</v>
      </c>
      <c r="J971" s="1">
        <v>0</v>
      </c>
      <c r="K971">
        <f t="shared" si="15"/>
        <v>1</v>
      </c>
    </row>
    <row r="972" spans="1:11" x14ac:dyDescent="0.35">
      <c r="A972" s="1">
        <v>971</v>
      </c>
      <c r="B972" s="1">
        <v>53</v>
      </c>
      <c r="C972" s="1" t="s">
        <v>10</v>
      </c>
      <c r="D972" s="1">
        <v>36</v>
      </c>
      <c r="E972" s="1">
        <v>11336.37</v>
      </c>
      <c r="F972" s="1">
        <v>1</v>
      </c>
      <c r="G972" s="1">
        <v>1</v>
      </c>
      <c r="H972" s="1">
        <v>1</v>
      </c>
      <c r="I972" s="1">
        <v>20269.95</v>
      </c>
      <c r="J972" s="1">
        <v>0</v>
      </c>
      <c r="K972">
        <f t="shared" si="15"/>
        <v>1</v>
      </c>
    </row>
    <row r="973" spans="1:11" x14ac:dyDescent="0.35">
      <c r="A973" s="1">
        <v>972</v>
      </c>
      <c r="B973" s="1">
        <v>18</v>
      </c>
      <c r="C973" s="1" t="s">
        <v>11</v>
      </c>
      <c r="D973" s="1">
        <v>30</v>
      </c>
      <c r="E973" s="1">
        <v>43967.05</v>
      </c>
      <c r="F973" s="1">
        <v>2</v>
      </c>
      <c r="G973" s="1">
        <v>0</v>
      </c>
      <c r="H973" s="1">
        <v>1</v>
      </c>
      <c r="I973" s="1">
        <v>53892.14</v>
      </c>
      <c r="J973" s="1">
        <v>0</v>
      </c>
      <c r="K973">
        <f t="shared" si="15"/>
        <v>1</v>
      </c>
    </row>
    <row r="974" spans="1:11" x14ac:dyDescent="0.35">
      <c r="A974" s="1">
        <v>973</v>
      </c>
      <c r="B974" s="1">
        <v>25</v>
      </c>
      <c r="C974" s="1" t="s">
        <v>11</v>
      </c>
      <c r="D974" s="1">
        <v>24</v>
      </c>
      <c r="E974" s="1">
        <v>40439.5</v>
      </c>
      <c r="F974" s="1">
        <v>2</v>
      </c>
      <c r="G974" s="1">
        <v>1</v>
      </c>
      <c r="H974" s="1">
        <v>0</v>
      </c>
      <c r="I974" s="1">
        <v>87376.36</v>
      </c>
      <c r="J974" s="1">
        <v>0</v>
      </c>
      <c r="K974">
        <f t="shared" si="15"/>
        <v>1</v>
      </c>
    </row>
    <row r="975" spans="1:11" x14ac:dyDescent="0.35">
      <c r="A975" s="1">
        <v>974</v>
      </c>
      <c r="B975" s="1">
        <v>66</v>
      </c>
      <c r="C975" s="1" t="s">
        <v>11</v>
      </c>
      <c r="D975" s="1">
        <v>30</v>
      </c>
      <c r="E975" s="1">
        <v>33857.620000000003</v>
      </c>
      <c r="F975" s="1">
        <v>4</v>
      </c>
      <c r="G975" s="1">
        <v>1</v>
      </c>
      <c r="H975" s="1">
        <v>0</v>
      </c>
      <c r="I975" s="1">
        <v>113888.09</v>
      </c>
      <c r="J975" s="1">
        <v>0</v>
      </c>
      <c r="K975">
        <f t="shared" si="15"/>
        <v>1</v>
      </c>
    </row>
    <row r="976" spans="1:11" x14ac:dyDescent="0.35">
      <c r="A976" s="1">
        <v>975</v>
      </c>
      <c r="B976" s="1">
        <v>52</v>
      </c>
      <c r="C976" s="1" t="s">
        <v>10</v>
      </c>
      <c r="D976" s="1">
        <v>7</v>
      </c>
      <c r="E976" s="1">
        <v>31251.46</v>
      </c>
      <c r="F976" s="1">
        <v>4</v>
      </c>
      <c r="G976" s="1">
        <v>1</v>
      </c>
      <c r="H976" s="1">
        <v>0</v>
      </c>
      <c r="I976" s="1">
        <v>42640.37</v>
      </c>
      <c r="J976" s="1">
        <v>0</v>
      </c>
      <c r="K976">
        <f t="shared" si="15"/>
        <v>1</v>
      </c>
    </row>
    <row r="977" spans="1:11" x14ac:dyDescent="0.35">
      <c r="A977" s="1">
        <v>976</v>
      </c>
      <c r="B977" s="1">
        <v>69</v>
      </c>
      <c r="C977" s="1" t="s">
        <v>10</v>
      </c>
      <c r="D977" s="1">
        <v>35</v>
      </c>
      <c r="E977" s="1">
        <v>15827.48</v>
      </c>
      <c r="F977" s="1">
        <v>3</v>
      </c>
      <c r="G977" s="1">
        <v>0</v>
      </c>
      <c r="H977" s="1">
        <v>0</v>
      </c>
      <c r="I977" s="1">
        <v>91094.55</v>
      </c>
      <c r="J977" s="1">
        <v>0</v>
      </c>
      <c r="K977">
        <f t="shared" si="15"/>
        <v>1</v>
      </c>
    </row>
    <row r="978" spans="1:11" x14ac:dyDescent="0.35">
      <c r="A978" s="1">
        <v>977</v>
      </c>
      <c r="B978" s="1">
        <v>32</v>
      </c>
      <c r="C978" s="1" t="s">
        <v>11</v>
      </c>
      <c r="D978" s="1">
        <v>55</v>
      </c>
      <c r="E978" s="1">
        <v>40820.54</v>
      </c>
      <c r="F978" s="1">
        <v>1</v>
      </c>
      <c r="G978" s="1">
        <v>0</v>
      </c>
      <c r="H978" s="1">
        <v>0</v>
      </c>
      <c r="I978" s="1">
        <v>112879.76</v>
      </c>
      <c r="J978" s="1">
        <v>0</v>
      </c>
      <c r="K978">
        <f t="shared" si="15"/>
        <v>1</v>
      </c>
    </row>
    <row r="979" spans="1:11" x14ac:dyDescent="0.35">
      <c r="A979" s="1">
        <v>978</v>
      </c>
      <c r="B979" s="1">
        <v>64</v>
      </c>
      <c r="C979" s="1" t="s">
        <v>10</v>
      </c>
      <c r="D979" s="1">
        <v>14</v>
      </c>
      <c r="E979" s="1">
        <v>25075.77</v>
      </c>
      <c r="F979" s="1">
        <v>3</v>
      </c>
      <c r="G979" s="1">
        <v>0</v>
      </c>
      <c r="H979" s="1">
        <v>1</v>
      </c>
      <c r="I979" s="1">
        <v>77801.600000000006</v>
      </c>
      <c r="J979" s="1">
        <v>0</v>
      </c>
      <c r="K979">
        <f t="shared" si="15"/>
        <v>1</v>
      </c>
    </row>
    <row r="980" spans="1:11" x14ac:dyDescent="0.35">
      <c r="A980" s="1">
        <v>979</v>
      </c>
      <c r="B980" s="1">
        <v>39</v>
      </c>
      <c r="C980" s="1" t="s">
        <v>10</v>
      </c>
      <c r="D980" s="1">
        <v>10</v>
      </c>
      <c r="E980" s="1">
        <v>3544.58</v>
      </c>
      <c r="F980" s="1">
        <v>4</v>
      </c>
      <c r="G980" s="1">
        <v>1</v>
      </c>
      <c r="H980" s="1">
        <v>0</v>
      </c>
      <c r="I980" s="1">
        <v>23520.55</v>
      </c>
      <c r="J980" s="1">
        <v>1</v>
      </c>
      <c r="K980">
        <f t="shared" si="15"/>
        <v>1</v>
      </c>
    </row>
    <row r="981" spans="1:11" x14ac:dyDescent="0.35">
      <c r="A981" s="1">
        <v>980</v>
      </c>
      <c r="B981" s="1">
        <v>31</v>
      </c>
      <c r="C981" s="1" t="s">
        <v>10</v>
      </c>
      <c r="D981" s="1">
        <v>16</v>
      </c>
      <c r="E981" s="1">
        <v>15643.16</v>
      </c>
      <c r="F981" s="1">
        <v>1</v>
      </c>
      <c r="G981" s="1">
        <v>0</v>
      </c>
      <c r="H981" s="1">
        <v>1</v>
      </c>
      <c r="I981" s="1">
        <v>78404.86</v>
      </c>
      <c r="J981" s="1">
        <v>0</v>
      </c>
      <c r="K981">
        <f t="shared" si="15"/>
        <v>1</v>
      </c>
    </row>
    <row r="982" spans="1:11" x14ac:dyDescent="0.35">
      <c r="A982" s="1">
        <v>981</v>
      </c>
      <c r="B982" s="1">
        <v>43</v>
      </c>
      <c r="C982" s="1" t="s">
        <v>10</v>
      </c>
      <c r="D982" s="1">
        <v>54</v>
      </c>
      <c r="E982" s="1">
        <v>46764.85</v>
      </c>
      <c r="F982" s="1">
        <v>1</v>
      </c>
      <c r="G982" s="1">
        <v>0</v>
      </c>
      <c r="H982" s="1">
        <v>1</v>
      </c>
      <c r="I982" s="1">
        <v>58537.84</v>
      </c>
      <c r="J982" s="1">
        <v>0</v>
      </c>
      <c r="K982">
        <f t="shared" si="15"/>
        <v>1</v>
      </c>
    </row>
    <row r="983" spans="1:11" x14ac:dyDescent="0.35">
      <c r="A983" s="1">
        <v>982</v>
      </c>
      <c r="B983" s="1">
        <v>45</v>
      </c>
      <c r="C983" s="1" t="s">
        <v>11</v>
      </c>
      <c r="D983" s="1">
        <v>70</v>
      </c>
      <c r="E983" s="1">
        <v>42534.01</v>
      </c>
      <c r="F983" s="1">
        <v>4</v>
      </c>
      <c r="G983" s="1">
        <v>1</v>
      </c>
      <c r="H983" s="1">
        <v>0</v>
      </c>
      <c r="I983" s="1">
        <v>140854.45000000001</v>
      </c>
      <c r="J983" s="1">
        <v>0</v>
      </c>
      <c r="K983">
        <f t="shared" si="15"/>
        <v>1</v>
      </c>
    </row>
    <row r="984" spans="1:11" x14ac:dyDescent="0.35">
      <c r="A984" s="1">
        <v>983</v>
      </c>
      <c r="B984" s="1">
        <v>40</v>
      </c>
      <c r="C984" s="1" t="s">
        <v>11</v>
      </c>
      <c r="D984" s="1">
        <v>44</v>
      </c>
      <c r="E984" s="1">
        <v>49095.28</v>
      </c>
      <c r="F984" s="1">
        <v>2</v>
      </c>
      <c r="G984" s="1">
        <v>1</v>
      </c>
      <c r="H984" s="1">
        <v>1</v>
      </c>
      <c r="I984" s="1">
        <v>36199.74</v>
      </c>
      <c r="J984" s="1">
        <v>0</v>
      </c>
      <c r="K984">
        <f t="shared" si="15"/>
        <v>1</v>
      </c>
    </row>
    <row r="985" spans="1:11" x14ac:dyDescent="0.35">
      <c r="A985" s="1">
        <v>984</v>
      </c>
      <c r="B985" s="1">
        <v>31</v>
      </c>
      <c r="C985" s="1" t="s">
        <v>11</v>
      </c>
      <c r="D985" s="1">
        <v>45</v>
      </c>
      <c r="E985" s="1">
        <v>31399.67</v>
      </c>
      <c r="F985" s="1">
        <v>2</v>
      </c>
      <c r="G985" s="1">
        <v>0</v>
      </c>
      <c r="H985" s="1">
        <v>0</v>
      </c>
      <c r="I985" s="1">
        <v>104821.87</v>
      </c>
      <c r="J985" s="1">
        <v>0</v>
      </c>
      <c r="K985">
        <f t="shared" si="15"/>
        <v>1</v>
      </c>
    </row>
    <row r="986" spans="1:11" x14ac:dyDescent="0.35">
      <c r="A986" s="1">
        <v>985</v>
      </c>
      <c r="B986" s="1">
        <v>41</v>
      </c>
      <c r="C986" s="1" t="s">
        <v>10</v>
      </c>
      <c r="D986" s="1">
        <v>56</v>
      </c>
      <c r="E986" s="1">
        <v>12375.5</v>
      </c>
      <c r="F986" s="1">
        <v>1</v>
      </c>
      <c r="G986" s="1">
        <v>1</v>
      </c>
      <c r="H986" s="1">
        <v>1</v>
      </c>
      <c r="I986" s="1">
        <v>26853.57</v>
      </c>
      <c r="J986" s="1">
        <v>0</v>
      </c>
      <c r="K986">
        <f t="shared" si="15"/>
        <v>1</v>
      </c>
    </row>
    <row r="987" spans="1:11" x14ac:dyDescent="0.35">
      <c r="A987" s="1">
        <v>986</v>
      </c>
      <c r="B987" s="1">
        <v>19</v>
      </c>
      <c r="C987" s="1" t="s">
        <v>11</v>
      </c>
      <c r="D987" s="1">
        <v>57</v>
      </c>
      <c r="E987" s="1">
        <v>8140.75</v>
      </c>
      <c r="F987" s="1">
        <v>3</v>
      </c>
      <c r="G987" s="1">
        <v>1</v>
      </c>
      <c r="H987" s="1">
        <v>0</v>
      </c>
      <c r="I987" s="1">
        <v>78002.16</v>
      </c>
      <c r="J987" s="1">
        <v>0</v>
      </c>
      <c r="K987">
        <f t="shared" si="15"/>
        <v>1</v>
      </c>
    </row>
    <row r="988" spans="1:11" x14ac:dyDescent="0.35">
      <c r="A988" s="1">
        <v>987</v>
      </c>
      <c r="B988" s="1">
        <v>62</v>
      </c>
      <c r="C988" s="1" t="s">
        <v>11</v>
      </c>
      <c r="D988" s="1">
        <v>21</v>
      </c>
      <c r="E988" s="1">
        <v>9345.7199999999993</v>
      </c>
      <c r="F988" s="1">
        <v>2</v>
      </c>
      <c r="G988" s="1">
        <v>1</v>
      </c>
      <c r="H988" s="1">
        <v>0</v>
      </c>
      <c r="I988" s="1">
        <v>92017.33</v>
      </c>
      <c r="J988" s="1">
        <v>0</v>
      </c>
      <c r="K988">
        <f t="shared" si="15"/>
        <v>1</v>
      </c>
    </row>
    <row r="989" spans="1:11" x14ac:dyDescent="0.35">
      <c r="A989" s="1">
        <v>988</v>
      </c>
      <c r="B989" s="1">
        <v>43</v>
      </c>
      <c r="C989" s="1" t="s">
        <v>10</v>
      </c>
      <c r="D989" s="1">
        <v>68</v>
      </c>
      <c r="E989" s="1">
        <v>989.78</v>
      </c>
      <c r="F989" s="1">
        <v>3</v>
      </c>
      <c r="G989" s="1">
        <v>1</v>
      </c>
      <c r="H989" s="1">
        <v>1</v>
      </c>
      <c r="I989" s="1">
        <v>58734.14</v>
      </c>
      <c r="J989" s="1">
        <v>0</v>
      </c>
      <c r="K989">
        <f t="shared" si="15"/>
        <v>1</v>
      </c>
    </row>
    <row r="990" spans="1:11" x14ac:dyDescent="0.35">
      <c r="A990" s="1">
        <v>989</v>
      </c>
      <c r="B990" s="1">
        <v>31</v>
      </c>
      <c r="C990" s="1" t="s">
        <v>10</v>
      </c>
      <c r="D990" s="1">
        <v>50</v>
      </c>
      <c r="E990" s="1">
        <v>19534.11</v>
      </c>
      <c r="F990" s="1">
        <v>2</v>
      </c>
      <c r="G990" s="1">
        <v>0</v>
      </c>
      <c r="H990" s="1">
        <v>0</v>
      </c>
      <c r="I990" s="1">
        <v>79159.83</v>
      </c>
      <c r="J990" s="1">
        <v>0</v>
      </c>
      <c r="K990">
        <f t="shared" si="15"/>
        <v>1</v>
      </c>
    </row>
    <row r="991" spans="1:11" x14ac:dyDescent="0.35">
      <c r="A991" s="1">
        <v>990</v>
      </c>
      <c r="B991" s="1">
        <v>68</v>
      </c>
      <c r="C991" s="1" t="s">
        <v>11</v>
      </c>
      <c r="D991" s="1">
        <v>33</v>
      </c>
      <c r="E991" s="1">
        <v>9571.3799999999992</v>
      </c>
      <c r="F991" s="1">
        <v>2</v>
      </c>
      <c r="G991" s="1">
        <v>1</v>
      </c>
      <c r="H991" s="1">
        <v>1</v>
      </c>
      <c r="I991" s="1">
        <v>41261.99</v>
      </c>
      <c r="J991" s="1">
        <v>0</v>
      </c>
      <c r="K991">
        <f t="shared" si="15"/>
        <v>1</v>
      </c>
    </row>
    <row r="992" spans="1:11" x14ac:dyDescent="0.35">
      <c r="A992" s="1">
        <v>991</v>
      </c>
      <c r="B992" s="1">
        <v>24</v>
      </c>
      <c r="C992" s="1" t="s">
        <v>11</v>
      </c>
      <c r="D992" s="1">
        <v>7</v>
      </c>
      <c r="E992" s="1">
        <v>20582.77</v>
      </c>
      <c r="F992" s="1">
        <v>3</v>
      </c>
      <c r="G992" s="1">
        <v>0</v>
      </c>
      <c r="H992" s="1">
        <v>0</v>
      </c>
      <c r="I992" s="1">
        <v>59536.1</v>
      </c>
      <c r="J992" s="1">
        <v>0</v>
      </c>
      <c r="K992">
        <f t="shared" si="15"/>
        <v>1</v>
      </c>
    </row>
    <row r="993" spans="1:11" x14ac:dyDescent="0.35">
      <c r="A993" s="1">
        <v>992</v>
      </c>
      <c r="B993" s="1">
        <v>20</v>
      </c>
      <c r="C993" s="1" t="s">
        <v>11</v>
      </c>
      <c r="D993" s="1">
        <v>70</v>
      </c>
      <c r="E993" s="1">
        <v>46749.72</v>
      </c>
      <c r="F993" s="1">
        <v>4</v>
      </c>
      <c r="G993" s="1">
        <v>0</v>
      </c>
      <c r="H993" s="1">
        <v>0</v>
      </c>
      <c r="I993" s="1">
        <v>100743.82</v>
      </c>
      <c r="J993" s="1">
        <v>0</v>
      </c>
      <c r="K993">
        <f t="shared" si="15"/>
        <v>1</v>
      </c>
    </row>
    <row r="994" spans="1:11" x14ac:dyDescent="0.35">
      <c r="A994" s="1">
        <v>993</v>
      </c>
      <c r="B994" s="1">
        <v>64</v>
      </c>
      <c r="C994" s="1" t="s">
        <v>11</v>
      </c>
      <c r="D994" s="1">
        <v>15</v>
      </c>
      <c r="E994" s="1">
        <v>21527.01</v>
      </c>
      <c r="F994" s="1">
        <v>2</v>
      </c>
      <c r="G994" s="1">
        <v>0</v>
      </c>
      <c r="H994" s="1">
        <v>0</v>
      </c>
      <c r="I994" s="1">
        <v>59234.01</v>
      </c>
      <c r="J994" s="1">
        <v>0</v>
      </c>
      <c r="K994">
        <f t="shared" si="15"/>
        <v>1</v>
      </c>
    </row>
    <row r="995" spans="1:11" x14ac:dyDescent="0.35">
      <c r="A995" s="1">
        <v>994</v>
      </c>
      <c r="B995" s="1">
        <v>40</v>
      </c>
      <c r="C995" s="1" t="s">
        <v>10</v>
      </c>
      <c r="D995" s="1">
        <v>32</v>
      </c>
      <c r="E995" s="1">
        <v>43899.22</v>
      </c>
      <c r="F995" s="1">
        <v>2</v>
      </c>
      <c r="G995" s="1">
        <v>0</v>
      </c>
      <c r="H995" s="1">
        <v>1</v>
      </c>
      <c r="I995" s="1">
        <v>136966.6</v>
      </c>
      <c r="J995" s="1">
        <v>0</v>
      </c>
      <c r="K995">
        <f t="shared" si="15"/>
        <v>1</v>
      </c>
    </row>
    <row r="996" spans="1:11" x14ac:dyDescent="0.35">
      <c r="A996" s="1">
        <v>995</v>
      </c>
      <c r="B996" s="1">
        <v>63</v>
      </c>
      <c r="C996" s="1" t="s">
        <v>11</v>
      </c>
      <c r="D996" s="1">
        <v>20</v>
      </c>
      <c r="E996" s="1">
        <v>30275.24</v>
      </c>
      <c r="F996" s="1">
        <v>3</v>
      </c>
      <c r="G996" s="1">
        <v>1</v>
      </c>
      <c r="H996" s="1">
        <v>1</v>
      </c>
      <c r="I996" s="1">
        <v>101692.9</v>
      </c>
      <c r="J996" s="1">
        <v>0</v>
      </c>
      <c r="K996">
        <f t="shared" si="15"/>
        <v>1</v>
      </c>
    </row>
    <row r="997" spans="1:11" x14ac:dyDescent="0.35">
      <c r="A997" s="1">
        <v>996</v>
      </c>
      <c r="B997" s="1">
        <v>60</v>
      </c>
      <c r="C997" s="1" t="s">
        <v>11</v>
      </c>
      <c r="D997" s="1">
        <v>15</v>
      </c>
      <c r="E997" s="1">
        <v>12356.58</v>
      </c>
      <c r="F997" s="1">
        <v>4</v>
      </c>
      <c r="G997" s="1">
        <v>1</v>
      </c>
      <c r="H997" s="1">
        <v>0</v>
      </c>
      <c r="I997" s="1">
        <v>77024.37</v>
      </c>
      <c r="J997" s="1">
        <v>0</v>
      </c>
      <c r="K997">
        <f t="shared" si="15"/>
        <v>1</v>
      </c>
    </row>
    <row r="998" spans="1:11" x14ac:dyDescent="0.35">
      <c r="A998" s="1">
        <v>997</v>
      </c>
      <c r="B998" s="1">
        <v>64</v>
      </c>
      <c r="C998" s="1" t="s">
        <v>10</v>
      </c>
      <c r="D998" s="1">
        <v>48</v>
      </c>
      <c r="E998" s="1">
        <v>17792.740000000002</v>
      </c>
      <c r="F998" s="1">
        <v>2</v>
      </c>
      <c r="G998" s="1">
        <v>1</v>
      </c>
      <c r="H998" s="1">
        <v>1</v>
      </c>
      <c r="I998" s="1">
        <v>25038.400000000001</v>
      </c>
      <c r="J998" s="1">
        <v>0</v>
      </c>
      <c r="K998">
        <f t="shared" si="15"/>
        <v>1</v>
      </c>
    </row>
    <row r="999" spans="1:11" x14ac:dyDescent="0.35">
      <c r="A999" s="1">
        <v>998</v>
      </c>
      <c r="B999" s="1">
        <v>62</v>
      </c>
      <c r="C999" s="1" t="s">
        <v>11</v>
      </c>
      <c r="D999" s="1">
        <v>71</v>
      </c>
      <c r="E999" s="1">
        <v>4195.9799999999996</v>
      </c>
      <c r="F999" s="1">
        <v>2</v>
      </c>
      <c r="G999" s="1">
        <v>0</v>
      </c>
      <c r="H999" s="1">
        <v>0</v>
      </c>
      <c r="I999" s="1">
        <v>84941.28</v>
      </c>
      <c r="J999" s="1">
        <v>0</v>
      </c>
      <c r="K999">
        <f t="shared" si="15"/>
        <v>1</v>
      </c>
    </row>
    <row r="1000" spans="1:11" x14ac:dyDescent="0.35">
      <c r="A1000" s="1">
        <v>999</v>
      </c>
      <c r="B1000" s="1">
        <v>35</v>
      </c>
      <c r="C1000" s="1" t="s">
        <v>10</v>
      </c>
      <c r="D1000" s="1">
        <v>21</v>
      </c>
      <c r="E1000" s="1">
        <v>16673.13</v>
      </c>
      <c r="F1000" s="1">
        <v>4</v>
      </c>
      <c r="G1000" s="1">
        <v>0</v>
      </c>
      <c r="H1000" s="1">
        <v>1</v>
      </c>
      <c r="I1000" s="1">
        <v>119420.91</v>
      </c>
      <c r="J1000" s="1">
        <v>0</v>
      </c>
      <c r="K1000">
        <f t="shared" si="15"/>
        <v>1</v>
      </c>
    </row>
    <row r="1001" spans="1:11" x14ac:dyDescent="0.35">
      <c r="A1001" s="1">
        <v>1000</v>
      </c>
      <c r="B1001" s="1">
        <v>55</v>
      </c>
      <c r="C1001" s="1" t="s">
        <v>10</v>
      </c>
      <c r="D1001" s="1">
        <v>42</v>
      </c>
      <c r="E1001" s="1">
        <v>33877.050000000003</v>
      </c>
      <c r="F1001" s="1">
        <v>2</v>
      </c>
      <c r="G1001" s="1">
        <v>0</v>
      </c>
      <c r="H1001" s="1">
        <v>1</v>
      </c>
      <c r="I1001" s="1">
        <v>54522.49</v>
      </c>
      <c r="J1001" s="1">
        <v>0</v>
      </c>
      <c r="K1001">
        <f t="shared" si="15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3381-7AEE-443E-91C1-C935BAFD261B}">
  <dimension ref="A1:D36"/>
  <sheetViews>
    <sheetView workbookViewId="0">
      <selection activeCell="D7" sqref="D7"/>
    </sheetView>
  </sheetViews>
  <sheetFormatPr defaultRowHeight="14.5" x14ac:dyDescent="0.35"/>
  <cols>
    <col min="1" max="1" width="25.7265625" bestFit="1" customWidth="1"/>
    <col min="2" max="2" width="14.453125" bestFit="1" customWidth="1"/>
    <col min="3" max="3" width="7.90625" customWidth="1"/>
    <col min="4" max="4" width="52.36328125" bestFit="1" customWidth="1"/>
  </cols>
  <sheetData>
    <row r="1" spans="1:4" ht="15.5" x14ac:dyDescent="0.35">
      <c r="A1" s="6" t="s">
        <v>12</v>
      </c>
      <c r="B1" s="6" t="s">
        <v>13</v>
      </c>
      <c r="C1" s="6" t="s">
        <v>14</v>
      </c>
      <c r="D1" s="6" t="s">
        <v>15</v>
      </c>
    </row>
    <row r="2" spans="1:4" x14ac:dyDescent="0.35">
      <c r="A2" t="s">
        <v>16</v>
      </c>
      <c r="B2" t="s">
        <v>0</v>
      </c>
      <c r="C2">
        <f>COUNTBLANK(Raw_Data!A2:A1001)</f>
        <v>0</v>
      </c>
      <c r="D2" t="str">
        <f>IF(C2=0,"No action required","Investigate missing values")</f>
        <v>No action required</v>
      </c>
    </row>
    <row r="3" spans="1:4" x14ac:dyDescent="0.35">
      <c r="A3" t="s">
        <v>16</v>
      </c>
      <c r="B3" t="s">
        <v>1</v>
      </c>
      <c r="C3">
        <f>COUNTBLANK(Raw_Data!B2:B1001)</f>
        <v>0</v>
      </c>
      <c r="D3" t="str">
        <f>IF(C3=0,"No action required","Investigate missing values")</f>
        <v>No action required</v>
      </c>
    </row>
    <row r="4" spans="1:4" x14ac:dyDescent="0.35">
      <c r="A4" t="s">
        <v>16</v>
      </c>
      <c r="B4" t="s">
        <v>2</v>
      </c>
      <c r="C4">
        <f>COUNTBLANK(Raw_Data!C2:C1001)</f>
        <v>0</v>
      </c>
      <c r="D4" t="str">
        <f>IF(C4=0,"No action required","Investigate missing values")</f>
        <v>No action required</v>
      </c>
    </row>
    <row r="5" spans="1:4" x14ac:dyDescent="0.35">
      <c r="A5" t="s">
        <v>16</v>
      </c>
      <c r="B5" t="s">
        <v>3</v>
      </c>
      <c r="C5">
        <f>COUNTBLANK(Raw_Data!D2:D1001)</f>
        <v>0</v>
      </c>
      <c r="D5" t="str">
        <f>IF(C5=0,"No action required","Investigate missing values")</f>
        <v>No action required</v>
      </c>
    </row>
    <row r="6" spans="1:4" x14ac:dyDescent="0.35">
      <c r="A6" t="s">
        <v>16</v>
      </c>
      <c r="B6" t="s">
        <v>4</v>
      </c>
      <c r="C6">
        <f>COUNTBLANK(Raw_Data!E2:E1001)</f>
        <v>0</v>
      </c>
      <c r="D6" t="str">
        <f>IF(C6=0,"No action required","Investigate missing values")</f>
        <v>No action required</v>
      </c>
    </row>
    <row r="7" spans="1:4" x14ac:dyDescent="0.35">
      <c r="A7" t="s">
        <v>16</v>
      </c>
      <c r="B7" t="s">
        <v>5</v>
      </c>
      <c r="C7">
        <f>COUNTBLANK(Raw_Data!F2:F1001)</f>
        <v>0</v>
      </c>
      <c r="D7" t="str">
        <f>IF(C7=0,"No action required","Investigate missing values")</f>
        <v>No action required</v>
      </c>
    </row>
    <row r="8" spans="1:4" x14ac:dyDescent="0.35">
      <c r="A8" t="s">
        <v>16</v>
      </c>
      <c r="B8" t="s">
        <v>6</v>
      </c>
      <c r="C8">
        <f>COUNTBLANK(Raw_Data!G2:G1001)</f>
        <v>0</v>
      </c>
      <c r="D8" t="str">
        <f>IF(C8=0,"No action required","Investigate missing values")</f>
        <v>No action required</v>
      </c>
    </row>
    <row r="9" spans="1:4" x14ac:dyDescent="0.35">
      <c r="A9" t="s">
        <v>16</v>
      </c>
      <c r="B9" t="s">
        <v>7</v>
      </c>
      <c r="C9">
        <f>COUNTBLANK(Raw_Data!H2:H1001)</f>
        <v>0</v>
      </c>
      <c r="D9" t="str">
        <f>IF(C9=0,"No action required","Investigate missing values")</f>
        <v>No action required</v>
      </c>
    </row>
    <row r="10" spans="1:4" x14ac:dyDescent="0.35">
      <c r="A10" t="s">
        <v>16</v>
      </c>
      <c r="B10" t="s">
        <v>8</v>
      </c>
      <c r="C10">
        <f>COUNTBLANK(Raw_Data!I2:I1001)</f>
        <v>0</v>
      </c>
      <c r="D10" t="str">
        <f>IF(C10=0,"No action required","Investigate missing values")</f>
        <v>No action required</v>
      </c>
    </row>
    <row r="11" spans="1:4" x14ac:dyDescent="0.35">
      <c r="A11" t="s">
        <v>16</v>
      </c>
      <c r="B11" t="s">
        <v>9</v>
      </c>
      <c r="C11">
        <f>COUNTBLANK(Raw_Data!J2:J1001)</f>
        <v>0</v>
      </c>
      <c r="D11" t="str">
        <f>IF(C11=0,"No action required","Investigate missing values")</f>
        <v>No action required</v>
      </c>
    </row>
    <row r="12" spans="1:4" x14ac:dyDescent="0.35">
      <c r="A12" t="s">
        <v>18</v>
      </c>
      <c r="B12" t="s">
        <v>0</v>
      </c>
      <c r="C12">
        <f>COUNTIF(Raw_Data!K2:K1001,"&gt;1")</f>
        <v>0</v>
      </c>
      <c r="D12" t="str">
        <f>IF(C12=0,"No duplicate CustomerIDs found","Investigate duplicate CustomerIDs")</f>
        <v>No duplicate CustomerIDs found</v>
      </c>
    </row>
    <row r="13" spans="1:4" x14ac:dyDescent="0.35">
      <c r="A13" t="s">
        <v>19</v>
      </c>
      <c r="B13" t="s">
        <v>2</v>
      </c>
      <c r="C13">
        <f>COUNTIFS(Raw_Data!C2:C1001,"&lt;&gt;Male",Raw_Data!C2:C1001,"&lt;&gt;Female",Raw_Data!C2:C1001,"&lt;&gt;")</f>
        <v>0</v>
      </c>
      <c r="D13" t="str">
        <f>IF(C13=0,"No invalid values found","Investigate invalid gender values")</f>
        <v>No invalid values found</v>
      </c>
    </row>
    <row r="14" spans="1:4" x14ac:dyDescent="0.35">
      <c r="A14" t="s">
        <v>20</v>
      </c>
      <c r="B14" t="s">
        <v>1</v>
      </c>
      <c r="C14">
        <f>COUNTIF(Raw_Data!B2:B1001,"&lt;=0")</f>
        <v>0</v>
      </c>
      <c r="D14" t="str">
        <f>IF(C14=0,"No invalid values found","Investigate invalid age values")</f>
        <v>No invalid values found</v>
      </c>
    </row>
    <row r="15" spans="1:4" x14ac:dyDescent="0.35">
      <c r="A15" t="s">
        <v>21</v>
      </c>
      <c r="B15" t="s">
        <v>3</v>
      </c>
      <c r="C15">
        <f>COUNTIF(Raw_Data!D2:D1001,"&lt;0")</f>
        <v>0</v>
      </c>
      <c r="D15" t="str">
        <f>IF(C15=0,"No invalid values found","Investigate invalid tenure values")</f>
        <v>No invalid values found</v>
      </c>
    </row>
    <row r="16" spans="1:4" x14ac:dyDescent="0.35">
      <c r="A16" t="s">
        <v>22</v>
      </c>
      <c r="B16" t="s">
        <v>4</v>
      </c>
      <c r="C16">
        <f>COUNTIF(Raw_Data!E2:E1001,"&lt;0")</f>
        <v>0</v>
      </c>
      <c r="D16" t="str">
        <f>IF(C16=0,"No invalid values found","Investigate invalid balance values")</f>
        <v>No invalid values found</v>
      </c>
    </row>
    <row r="17" spans="1:4" x14ac:dyDescent="0.35">
      <c r="A17" t="s">
        <v>23</v>
      </c>
      <c r="B17" t="s">
        <v>6</v>
      </c>
      <c r="C17">
        <f>COUNTIFS(Raw_Data!G2:G1001,"&lt;&gt;0",Raw_Data!G2:G1001,"&lt;&gt;1",Raw_Data!G2:G1001,"&lt;&gt;")</f>
        <v>0</v>
      </c>
      <c r="D17" t="str">
        <f>IF(C18=0,"No invalid values found","Investigate invalid credit card values")</f>
        <v>No invalid values found</v>
      </c>
    </row>
    <row r="18" spans="1:4" x14ac:dyDescent="0.35">
      <c r="A18" t="s">
        <v>24</v>
      </c>
      <c r="B18" t="s">
        <v>7</v>
      </c>
      <c r="C18">
        <f>COUNTIFS(Raw_Data!H2:H1001,"&lt;&gt;0",Raw_Data!H2:H1001,"&lt;&gt;1",Raw_Data!H2:H1001,"&lt;&gt;")</f>
        <v>0</v>
      </c>
      <c r="D18" t="str">
        <f>IF(C19=0,"No invalid values found","Investigate invalid active member values")</f>
        <v>No invalid values found</v>
      </c>
    </row>
    <row r="19" spans="1:4" x14ac:dyDescent="0.35">
      <c r="A19" t="s">
        <v>25</v>
      </c>
      <c r="B19" t="s">
        <v>8</v>
      </c>
      <c r="C19">
        <f>COUNTIF(Raw_Data!I2:I1001,"&lt;0")</f>
        <v>0</v>
      </c>
      <c r="D19" t="str">
        <f>IF(C20=0,"No invalid values found","Investigate invalid salary values")</f>
        <v>No invalid values found</v>
      </c>
    </row>
    <row r="20" spans="1:4" x14ac:dyDescent="0.35">
      <c r="A20" t="s">
        <v>26</v>
      </c>
      <c r="B20" t="s">
        <v>5</v>
      </c>
      <c r="C20">
        <f>COUNTIF(Raw_Data!F2:F1001,"&lt;=0")</f>
        <v>0</v>
      </c>
      <c r="D20" t="str">
        <f>IF(C17=0,"No invalid values found","Investigate invalid product values")</f>
        <v>No invalid values found</v>
      </c>
    </row>
    <row r="21" spans="1:4" x14ac:dyDescent="0.35">
      <c r="A21" t="s">
        <v>27</v>
      </c>
      <c r="B21" t="s">
        <v>9</v>
      </c>
      <c r="C21">
        <f>COUNTIFS(Raw_Data!J2:J1001,"&lt;&gt;0",Raw_Data!J2:J1001,"&lt;&gt;1",Raw_Data!J2:J1001,"&lt;&gt;")</f>
        <v>0</v>
      </c>
      <c r="D21" t="str">
        <f>IF(C21=0,"No invalid values found","Investigate invalid churn values")</f>
        <v>No invalid values found</v>
      </c>
    </row>
    <row r="22" spans="1:4" x14ac:dyDescent="0.35">
      <c r="A22" t="s">
        <v>28</v>
      </c>
      <c r="B22" t="s">
        <v>0</v>
      </c>
      <c r="C22">
        <f>COUNT(Raw_Data!A2:A1001)</f>
        <v>1000</v>
      </c>
      <c r="D22" t="str">
        <f>IF(C23=1000,"Numeric - Valid","Check data type")</f>
        <v>Numeric - Valid</v>
      </c>
    </row>
    <row r="23" spans="1:4" x14ac:dyDescent="0.35">
      <c r="A23" t="s">
        <v>28</v>
      </c>
      <c r="B23" t="s">
        <v>1</v>
      </c>
      <c r="C23">
        <f>COUNT(Raw_Data!B2:B1001)</f>
        <v>1000</v>
      </c>
      <c r="D23" t="str">
        <f>IF(C24=1000,"Numeric - Valid","Check data type")</f>
        <v>Numeric - Valid</v>
      </c>
    </row>
    <row r="24" spans="1:4" x14ac:dyDescent="0.35">
      <c r="A24" t="s">
        <v>28</v>
      </c>
      <c r="B24" t="s">
        <v>2</v>
      </c>
      <c r="C24">
        <f>COUNTA(Raw_Data!C2:C1001)</f>
        <v>1000</v>
      </c>
      <c r="D24" t="str">
        <f>IF(C25=1000,"Text/Categorical - Valid","Check data type")</f>
        <v>Text/Categorical - Valid</v>
      </c>
    </row>
    <row r="25" spans="1:4" x14ac:dyDescent="0.35">
      <c r="A25" t="s">
        <v>28</v>
      </c>
      <c r="B25" t="s">
        <v>3</v>
      </c>
      <c r="C25">
        <f>COUNT(Raw_Data!D2:D1001)</f>
        <v>1000</v>
      </c>
      <c r="D25" t="str">
        <f>IF(C26=1000,"Numeric - Valid","Check data type")</f>
        <v>Numeric - Valid</v>
      </c>
    </row>
    <row r="26" spans="1:4" x14ac:dyDescent="0.35">
      <c r="A26" t="s">
        <v>28</v>
      </c>
      <c r="B26" t="s">
        <v>4</v>
      </c>
      <c r="C26">
        <f>COUNT(Raw_Data!E2:E1001)</f>
        <v>1000</v>
      </c>
      <c r="D26" t="str">
        <f>IF(C27=1000,"Numeric - Valid","Check data type")</f>
        <v>Numeric - Valid</v>
      </c>
    </row>
    <row r="27" spans="1:4" x14ac:dyDescent="0.35">
      <c r="A27" t="s">
        <v>28</v>
      </c>
      <c r="B27" t="s">
        <v>5</v>
      </c>
      <c r="C27">
        <f>COUNT(Raw_Data!F2:F1001)</f>
        <v>1000</v>
      </c>
      <c r="D27" t="str">
        <f>IF(C28=1000,"Numeric - Valid","Check data type")</f>
        <v>Numeric - Valid</v>
      </c>
    </row>
    <row r="28" spans="1:4" x14ac:dyDescent="0.35">
      <c r="A28" t="s">
        <v>28</v>
      </c>
      <c r="B28" t="s">
        <v>6</v>
      </c>
      <c r="C28">
        <f>COUNT(Raw_Data!G2:G1001)</f>
        <v>1000</v>
      </c>
      <c r="D28" t="str">
        <f>IF(C29=1000,"Numeric/Binary - Valid","Check data type")</f>
        <v>Numeric/Binary - Valid</v>
      </c>
    </row>
    <row r="29" spans="1:4" x14ac:dyDescent="0.35">
      <c r="A29" t="s">
        <v>28</v>
      </c>
      <c r="B29" t="s">
        <v>7</v>
      </c>
      <c r="C29">
        <f>COUNT(Raw_Data!H2:H1001)</f>
        <v>1000</v>
      </c>
      <c r="D29" t="str">
        <f>IF(C30=1000,"Numeric/Binary - Valid","Check data type")</f>
        <v>Numeric/Binary - Valid</v>
      </c>
    </row>
    <row r="30" spans="1:4" x14ac:dyDescent="0.35">
      <c r="A30" t="s">
        <v>28</v>
      </c>
      <c r="B30" t="s">
        <v>8</v>
      </c>
      <c r="C30">
        <f>COUNT(Raw_Data!I2:I1001)</f>
        <v>1000</v>
      </c>
      <c r="D30" t="str">
        <f>IF(C31=1000,"Numeric - Valid","Check data type")</f>
        <v>Numeric - Valid</v>
      </c>
    </row>
    <row r="31" spans="1:4" x14ac:dyDescent="0.35">
      <c r="A31" t="s">
        <v>28</v>
      </c>
      <c r="B31" t="s">
        <v>9</v>
      </c>
      <c r="C31">
        <f>COUNT(Raw_Data!J2:J1001)</f>
        <v>1000</v>
      </c>
      <c r="D31" t="str">
        <f>IF(C31=1000,"Numeric/Binary - Valid","Check data type")</f>
        <v>Numeric/Binary - Valid</v>
      </c>
    </row>
    <row r="32" spans="1:4" x14ac:dyDescent="0.35">
      <c r="A32" t="s">
        <v>37</v>
      </c>
      <c r="B32" t="s">
        <v>1</v>
      </c>
      <c r="C32">
        <v>0</v>
      </c>
      <c r="D32" t="s">
        <v>38</v>
      </c>
    </row>
    <row r="33" spans="1:4" x14ac:dyDescent="0.35">
      <c r="A33" t="s">
        <v>37</v>
      </c>
      <c r="B33" t="s">
        <v>3</v>
      </c>
      <c r="C33">
        <v>0</v>
      </c>
      <c r="D33" t="s">
        <v>38</v>
      </c>
    </row>
    <row r="34" spans="1:4" x14ac:dyDescent="0.35">
      <c r="A34" t="s">
        <v>37</v>
      </c>
      <c r="B34" t="s">
        <v>4</v>
      </c>
      <c r="C34">
        <v>0</v>
      </c>
      <c r="D34" t="s">
        <v>38</v>
      </c>
    </row>
    <row r="35" spans="1:4" x14ac:dyDescent="0.35">
      <c r="A35" t="s">
        <v>37</v>
      </c>
      <c r="B35" t="s">
        <v>8</v>
      </c>
      <c r="C35">
        <v>0</v>
      </c>
      <c r="D35" t="s">
        <v>38</v>
      </c>
    </row>
    <row r="36" spans="1:4" x14ac:dyDescent="0.35">
      <c r="A36" t="s">
        <v>42</v>
      </c>
      <c r="B36" t="s">
        <v>39</v>
      </c>
      <c r="C36" t="s">
        <v>40</v>
      </c>
      <c r="D36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FF18-4197-4E74-8BF3-DB68BA7125B9}">
  <dimension ref="A1:H5"/>
  <sheetViews>
    <sheetView workbookViewId="0">
      <selection activeCell="F9" sqref="F9"/>
    </sheetView>
  </sheetViews>
  <sheetFormatPr defaultRowHeight="14.5" x14ac:dyDescent="0.35"/>
  <cols>
    <col min="1" max="1" width="14.26953125" bestFit="1" customWidth="1"/>
    <col min="2" max="2" width="10.81640625" bestFit="1" customWidth="1"/>
    <col min="3" max="3" width="11.81640625" bestFit="1" customWidth="1"/>
    <col min="4" max="4" width="8.81640625" bestFit="1" customWidth="1"/>
    <col min="5" max="5" width="15.6328125" customWidth="1"/>
    <col min="6" max="6" width="14.90625" customWidth="1"/>
    <col min="7" max="7" width="16.36328125" customWidth="1"/>
    <col min="8" max="8" width="13.453125" bestFit="1" customWidth="1"/>
  </cols>
  <sheetData>
    <row r="1" spans="1:8" ht="15.5" x14ac:dyDescent="0.3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</row>
    <row r="2" spans="1:8" x14ac:dyDescent="0.35">
      <c r="A2" t="s">
        <v>1</v>
      </c>
      <c r="B2">
        <f>_xlfn.QUARTILE.INC(Raw_Data!B2:B1001,1)</f>
        <v>31</v>
      </c>
      <c r="C2">
        <f>_xlfn.QUARTILE.INC(Raw_Data!B2:B1001,3)</f>
        <v>56</v>
      </c>
      <c r="D2">
        <f>C2-B2</f>
        <v>25</v>
      </c>
      <c r="E2">
        <f>B2-1.5*D2</f>
        <v>-6.5</v>
      </c>
      <c r="F2">
        <f>C2+1.5*D2</f>
        <v>93.5</v>
      </c>
      <c r="G2">
        <f>COUNTIF(Raw_Data!B2:B1001,"&lt;"&amp;E2)+COUNTIF(Raw_Data!B2:B1001,"&gt;"&amp;F2)</f>
        <v>0</v>
      </c>
      <c r="H2" t="str">
        <f>IF(G2=0,"No IQR outliers","Outliers identified - investigate")</f>
        <v>No IQR outliers</v>
      </c>
    </row>
    <row r="3" spans="1:8" x14ac:dyDescent="0.35">
      <c r="A3" t="s">
        <v>3</v>
      </c>
      <c r="B3">
        <f>_xlfn.QUARTILE.INC(Raw_Data!D2:D1001,1)</f>
        <v>17</v>
      </c>
      <c r="C3">
        <f>_xlfn.QUARTILE.INC(Raw_Data!D2:D1001,3)</f>
        <v>52</v>
      </c>
      <c r="D3">
        <f>C3-B3</f>
        <v>35</v>
      </c>
      <c r="E3">
        <f>B3-1.5*D3</f>
        <v>-35.5</v>
      </c>
      <c r="F3">
        <f>C3+1.5*D3</f>
        <v>104.5</v>
      </c>
      <c r="G3">
        <f>COUNTIF(Raw_Data!D2:D1001,"&lt;"&amp;E3)+COUNTIF(Raw_Data!D2:D1001,"&gt;"&amp;F3)</f>
        <v>0</v>
      </c>
      <c r="H3" t="str">
        <f>IF(G3=0,"No IQR outliers","Outliers identified - investigate")</f>
        <v>No IQR outliers</v>
      </c>
    </row>
    <row r="4" spans="1:8" x14ac:dyDescent="0.35">
      <c r="A4" t="s">
        <v>4</v>
      </c>
      <c r="B4">
        <f>_xlfn.QUARTILE.INC(Raw_Data!E2:E1001,1)</f>
        <v>12678.4575</v>
      </c>
      <c r="C4">
        <f>_xlfn.QUARTILE.INC(Raw_Data!E2:E1001,3)</f>
        <v>37996.107499999998</v>
      </c>
      <c r="D4">
        <f>C4-B4</f>
        <v>25317.649999999998</v>
      </c>
      <c r="E4">
        <f>B4-1.5*D4</f>
        <v>-25298.017499999998</v>
      </c>
      <c r="F4">
        <f>C4+1.5*D4</f>
        <v>75972.58249999999</v>
      </c>
      <c r="G4">
        <f>COUNTIF(Raw_Data!E2:E1001,"&lt;"&amp;E4)+COUNTIF(Raw_Data!E2:E1001,"&gt;"&amp;F4)</f>
        <v>0</v>
      </c>
      <c r="H4" t="str">
        <f>IF(G4=0,"No IQR outliers","Outliers identified - investigate")</f>
        <v>No IQR outliers</v>
      </c>
    </row>
    <row r="5" spans="1:8" x14ac:dyDescent="0.35">
      <c r="A5" t="s">
        <v>8</v>
      </c>
      <c r="B5">
        <f>_xlfn.QUARTILE.INC(Raw_Data!I2:I1001,1)</f>
        <v>51720.447500000002</v>
      </c>
      <c r="C5">
        <f>_xlfn.QUARTILE.INC(Raw_Data!I2:I1001,3)</f>
        <v>116665.85750000001</v>
      </c>
      <c r="D5">
        <f>C5-B5</f>
        <v>64945.410000000011</v>
      </c>
      <c r="E5">
        <f>B5-1.5*D5</f>
        <v>-45697.667500000018</v>
      </c>
      <c r="F5">
        <f>C5+1.5*D5</f>
        <v>214083.97250000003</v>
      </c>
      <c r="G5">
        <f>COUNTIF(Raw_Data!I2:I1001,"&lt;"&amp;E5)+COUNTIF(Raw_Data!I2:I1001,"&gt;"&amp;F5)</f>
        <v>0</v>
      </c>
      <c r="H5" t="str">
        <f>IF(G5=0,"No IQR outliers","Outliers identified - investigate")</f>
        <v>No IQR outliers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2996-F730-4168-AACE-2F80DDBBEAC2}">
  <dimension ref="A1:E11"/>
  <sheetViews>
    <sheetView workbookViewId="0">
      <selection activeCell="B13" sqref="B13"/>
    </sheetView>
  </sheetViews>
  <sheetFormatPr defaultRowHeight="14.5" x14ac:dyDescent="0.35"/>
  <cols>
    <col min="1" max="1" width="14.453125" bestFit="1" customWidth="1"/>
    <col min="2" max="2" width="41.81640625" bestFit="1" customWidth="1"/>
    <col min="3" max="3" width="11.1796875" customWidth="1"/>
    <col min="4" max="4" width="20.81640625" customWidth="1"/>
    <col min="5" max="5" width="8.453125" bestFit="1" customWidth="1"/>
  </cols>
  <sheetData>
    <row r="1" spans="1:5" ht="15.5" x14ac:dyDescent="0.35">
      <c r="A1" s="8" t="s">
        <v>29</v>
      </c>
      <c r="B1" s="8" t="s">
        <v>43</v>
      </c>
      <c r="C1" s="8" t="s">
        <v>44</v>
      </c>
      <c r="D1" s="8" t="s">
        <v>45</v>
      </c>
      <c r="E1" s="8" t="s">
        <v>46</v>
      </c>
    </row>
    <row r="2" spans="1:5" x14ac:dyDescent="0.35">
      <c r="A2" s="2" t="s">
        <v>0</v>
      </c>
      <c r="B2" s="2" t="s">
        <v>47</v>
      </c>
      <c r="C2" s="2" t="s">
        <v>48</v>
      </c>
      <c r="D2" s="2" t="s">
        <v>49</v>
      </c>
      <c r="E2" s="2" t="s">
        <v>50</v>
      </c>
    </row>
    <row r="3" spans="1:5" x14ac:dyDescent="0.35">
      <c r="A3" s="2" t="s">
        <v>1</v>
      </c>
      <c r="B3" s="2" t="s">
        <v>51</v>
      </c>
      <c r="C3" s="2" t="s">
        <v>48</v>
      </c>
      <c r="D3" s="2" t="s">
        <v>52</v>
      </c>
      <c r="E3" s="2" t="s">
        <v>53</v>
      </c>
    </row>
    <row r="4" spans="1:5" x14ac:dyDescent="0.35">
      <c r="A4" s="2" t="s">
        <v>2</v>
      </c>
      <c r="B4" s="2" t="s">
        <v>54</v>
      </c>
      <c r="C4" s="2" t="s">
        <v>55</v>
      </c>
      <c r="D4" s="2" t="s">
        <v>56</v>
      </c>
      <c r="E4" s="2" t="s">
        <v>53</v>
      </c>
    </row>
    <row r="5" spans="1:5" x14ac:dyDescent="0.35">
      <c r="A5" s="2" t="s">
        <v>3</v>
      </c>
      <c r="B5" s="2" t="s">
        <v>57</v>
      </c>
      <c r="C5" s="2" t="s">
        <v>48</v>
      </c>
      <c r="D5" s="2" t="s">
        <v>58</v>
      </c>
      <c r="E5" s="2" t="s">
        <v>53</v>
      </c>
    </row>
    <row r="6" spans="1:5" x14ac:dyDescent="0.35">
      <c r="A6" s="2" t="s">
        <v>4</v>
      </c>
      <c r="B6" s="2" t="s">
        <v>59</v>
      </c>
      <c r="C6" s="2" t="s">
        <v>48</v>
      </c>
      <c r="D6" s="2" t="s">
        <v>60</v>
      </c>
      <c r="E6" s="2" t="s">
        <v>53</v>
      </c>
    </row>
    <row r="7" spans="1:5" x14ac:dyDescent="0.35">
      <c r="A7" s="2" t="s">
        <v>5</v>
      </c>
      <c r="B7" s="2" t="s">
        <v>61</v>
      </c>
      <c r="C7" s="2" t="s">
        <v>48</v>
      </c>
      <c r="D7" s="2" t="s">
        <v>62</v>
      </c>
      <c r="E7" s="2" t="s">
        <v>53</v>
      </c>
    </row>
    <row r="8" spans="1:5" x14ac:dyDescent="0.35">
      <c r="A8" s="2" t="s">
        <v>6</v>
      </c>
      <c r="B8" s="2" t="s">
        <v>63</v>
      </c>
      <c r="C8" s="2" t="s">
        <v>64</v>
      </c>
      <c r="D8" s="2" t="s">
        <v>65</v>
      </c>
      <c r="E8" s="2" t="s">
        <v>53</v>
      </c>
    </row>
    <row r="9" spans="1:5" x14ac:dyDescent="0.35">
      <c r="A9" s="2" t="s">
        <v>7</v>
      </c>
      <c r="B9" s="2" t="s">
        <v>66</v>
      </c>
      <c r="C9" s="2" t="s">
        <v>64</v>
      </c>
      <c r="D9" s="2" t="s">
        <v>65</v>
      </c>
      <c r="E9" s="2" t="s">
        <v>53</v>
      </c>
    </row>
    <row r="10" spans="1:5" x14ac:dyDescent="0.35">
      <c r="A10" s="2" t="s">
        <v>8</v>
      </c>
      <c r="B10" s="2" t="s">
        <v>67</v>
      </c>
      <c r="C10" s="2" t="s">
        <v>48</v>
      </c>
      <c r="D10" s="2" t="s">
        <v>60</v>
      </c>
      <c r="E10" s="2" t="s">
        <v>53</v>
      </c>
    </row>
    <row r="11" spans="1:5" x14ac:dyDescent="0.35">
      <c r="A11" s="2" t="s">
        <v>9</v>
      </c>
      <c r="B11" s="2" t="s">
        <v>68</v>
      </c>
      <c r="C11" s="2" t="s">
        <v>64</v>
      </c>
      <c r="D11" s="2" t="s">
        <v>69</v>
      </c>
      <c r="E11" s="7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DE0B-B204-4B23-B626-FFFD908DE345}">
  <dimension ref="A1:H83"/>
  <sheetViews>
    <sheetView topLeftCell="A74" workbookViewId="0">
      <selection activeCell="E84" sqref="E84"/>
    </sheetView>
  </sheetViews>
  <sheetFormatPr defaultRowHeight="14.5" x14ac:dyDescent="0.35"/>
  <cols>
    <col min="1" max="1" width="25.08984375" customWidth="1"/>
    <col min="2" max="2" width="10.26953125" customWidth="1"/>
    <col min="3" max="3" width="5.7265625" customWidth="1"/>
    <col min="4" max="4" width="21" customWidth="1"/>
    <col min="5" max="5" width="16.36328125" customWidth="1"/>
    <col min="6" max="6" width="19.36328125" customWidth="1"/>
    <col min="7" max="7" width="12.08984375" customWidth="1"/>
    <col min="8" max="8" width="14.54296875" customWidth="1"/>
  </cols>
  <sheetData>
    <row r="1" spans="1:8" ht="15.5" x14ac:dyDescent="0.35">
      <c r="A1" s="6" t="s">
        <v>71</v>
      </c>
    </row>
    <row r="3" spans="1:8" x14ac:dyDescent="0.35">
      <c r="A3" t="s">
        <v>72</v>
      </c>
      <c r="B3" t="s">
        <v>73</v>
      </c>
      <c r="D3" t="s">
        <v>84</v>
      </c>
      <c r="E3" t="s">
        <v>85</v>
      </c>
    </row>
    <row r="4" spans="1:8" x14ac:dyDescent="0.35">
      <c r="A4" t="s">
        <v>74</v>
      </c>
      <c r="B4">
        <f>COUNTA(Raw_Data!A2:A1001)</f>
        <v>1000</v>
      </c>
      <c r="D4" t="s">
        <v>86</v>
      </c>
      <c r="E4">
        <f>COUNTIF(Raw_Data!J2:J1001,0)</f>
        <v>983</v>
      </c>
    </row>
    <row r="5" spans="1:8" x14ac:dyDescent="0.35">
      <c r="A5" t="s">
        <v>75</v>
      </c>
      <c r="B5">
        <f>COUNTIF(Raw_Data!J2:J1001,1)</f>
        <v>17</v>
      </c>
      <c r="D5" t="s">
        <v>87</v>
      </c>
      <c r="E5">
        <f>COUNTIF(Raw_Data!J2:J1001,1)</f>
        <v>17</v>
      </c>
    </row>
    <row r="6" spans="1:8" x14ac:dyDescent="0.35">
      <c r="A6" t="s">
        <v>76</v>
      </c>
      <c r="B6">
        <f>COUNTIF(Raw_Data!J2:J1001,0)</f>
        <v>983</v>
      </c>
    </row>
    <row r="7" spans="1:8" x14ac:dyDescent="0.35">
      <c r="A7" t="s">
        <v>77</v>
      </c>
      <c r="B7" s="3">
        <f>B5/B4</f>
        <v>1.7000000000000001E-2</v>
      </c>
    </row>
    <row r="8" spans="1:8" x14ac:dyDescent="0.35">
      <c r="A8" t="s">
        <v>78</v>
      </c>
      <c r="B8" s="3">
        <f>B6/B4</f>
        <v>0.98299999999999998</v>
      </c>
      <c r="D8" t="s">
        <v>2</v>
      </c>
      <c r="E8" t="s">
        <v>74</v>
      </c>
      <c r="F8" t="s">
        <v>75</v>
      </c>
      <c r="G8" t="s">
        <v>77</v>
      </c>
    </row>
    <row r="9" spans="1:8" x14ac:dyDescent="0.35">
      <c r="D9" t="s">
        <v>10</v>
      </c>
      <c r="E9">
        <f>COUNTIF(Raw_Data!C2:C1001,"Male")</f>
        <v>524</v>
      </c>
      <c r="F9">
        <f>COUNTIFS(Raw_Data!C2:C1001,"Male",Raw_Data!J2:J1001,1)</f>
        <v>7</v>
      </c>
      <c r="G9" s="3">
        <f>F9/E9</f>
        <v>1.3358778625954198E-2</v>
      </c>
    </row>
    <row r="10" spans="1:8" x14ac:dyDescent="0.35">
      <c r="A10" t="s">
        <v>168</v>
      </c>
      <c r="B10" t="s">
        <v>169</v>
      </c>
      <c r="D10" t="s">
        <v>11</v>
      </c>
      <c r="E10">
        <f>COUNTIF(Raw_Data!C2:C1001,"Female")</f>
        <v>476</v>
      </c>
      <c r="F10">
        <f>COUNTIFS(Raw_Data!C2:C1001,"Female",Raw_Data!J2:J1001,1)</f>
        <v>10</v>
      </c>
      <c r="G10" s="3">
        <f>F10/E10</f>
        <v>2.100840336134454E-2</v>
      </c>
    </row>
    <row r="11" spans="1:8" x14ac:dyDescent="0.35">
      <c r="A11" t="s">
        <v>79</v>
      </c>
      <c r="B11">
        <f>AVERAGE(Raw_Data!B2:B1001)</f>
        <v>43.819000000000003</v>
      </c>
      <c r="D11" t="s">
        <v>88</v>
      </c>
      <c r="E11">
        <f>SUM(E9:E10)</f>
        <v>1000</v>
      </c>
      <c r="F11">
        <f>SUM(F9:F10)</f>
        <v>17</v>
      </c>
      <c r="G11" s="3">
        <f>F11/E11</f>
        <v>1.7000000000000001E-2</v>
      </c>
    </row>
    <row r="12" spans="1:8" x14ac:dyDescent="0.35">
      <c r="A12" t="s">
        <v>80</v>
      </c>
      <c r="B12">
        <f>AVERAGE(Raw_Data!D2:D1001)</f>
        <v>34.627000000000002</v>
      </c>
    </row>
    <row r="13" spans="1:8" x14ac:dyDescent="0.35">
      <c r="A13" t="s">
        <v>81</v>
      </c>
      <c r="B13">
        <f>AVERAGE(Raw_Data!E2:E1001)</f>
        <v>25317.425970000022</v>
      </c>
    </row>
    <row r="14" spans="1:8" x14ac:dyDescent="0.35">
      <c r="A14" t="s">
        <v>82</v>
      </c>
      <c r="B14">
        <f>AVERAGE(Raw_Data!F2:F1001)</f>
        <v>2.4849999999999999</v>
      </c>
      <c r="D14" t="s">
        <v>89</v>
      </c>
      <c r="E14" t="s">
        <v>74</v>
      </c>
      <c r="F14" t="s">
        <v>75</v>
      </c>
      <c r="G14" t="s">
        <v>77</v>
      </c>
      <c r="H14" t="s">
        <v>90</v>
      </c>
    </row>
    <row r="15" spans="1:8" x14ac:dyDescent="0.35">
      <c r="A15" t="s">
        <v>83</v>
      </c>
      <c r="B15">
        <f>AVERAGE(Raw_Data!I2:I1001)</f>
        <v>83865.806199999963</v>
      </c>
      <c r="D15" t="s">
        <v>91</v>
      </c>
      <c r="E15">
        <f>COUNTIFS(Raw_Data!B2:B1001,"&gt;=18",Raw_Data!B2:B1001,"&lt;=25")</f>
        <v>154</v>
      </c>
      <c r="F15">
        <f>COUNTIFS(Raw_Data!B2:B1001,"&gt;=18",Raw_Data!B2:B1001,"&lt;=25",Raw_Data!J2:J1001,1)</f>
        <v>4</v>
      </c>
      <c r="G15" s="3">
        <f>F15/E15</f>
        <v>2.5974025974025976E-2</v>
      </c>
    </row>
    <row r="16" spans="1:8" x14ac:dyDescent="0.35">
      <c r="D16" t="s">
        <v>92</v>
      </c>
      <c r="E16">
        <f>COUNTIFS(Raw_Data!B2:B1001,"&gt;=26",Raw_Data!B2:B1001,"&lt;=35")</f>
        <v>173</v>
      </c>
      <c r="F16">
        <f>COUNTIFS(Raw_Data!B2:B1001,"&gt;=26",Raw_Data!B2:B1001,"&lt;=35",Raw_Data!J2:J1001,1)</f>
        <v>1</v>
      </c>
      <c r="G16" s="3">
        <f>F16/E16</f>
        <v>5.7803468208092483E-3</v>
      </c>
    </row>
    <row r="17" spans="4:7" x14ac:dyDescent="0.35">
      <c r="D17" t="s">
        <v>93</v>
      </c>
      <c r="E17">
        <f>COUNTIFS(Raw_Data!B2:B1001,"&gt;=36",Raw_Data!B2:B1001,"&lt;=45")</f>
        <v>208</v>
      </c>
      <c r="F17">
        <f>COUNTIFS(Raw_Data!B2:B1001,"&gt;=36",Raw_Data!B2:B1001,"&lt;=45",Raw_Data!J2:J1001,1)</f>
        <v>3</v>
      </c>
      <c r="G17" s="3">
        <f>F17/E17</f>
        <v>1.4423076923076924E-2</v>
      </c>
    </row>
    <row r="18" spans="4:7" x14ac:dyDescent="0.35">
      <c r="D18" t="s">
        <v>94</v>
      </c>
      <c r="E18">
        <f>COUNTIFS(Raw_Data!B2:B1001,"&gt;=46",Raw_Data!B2:B1001,"&lt;=55")</f>
        <v>201</v>
      </c>
      <c r="F18">
        <f>COUNTIFS(Raw_Data!B2:B1001,"&gt;=46",Raw_Data!B2:B1001,"&lt;=55",Raw_Data!J2:J1001,1)</f>
        <v>3</v>
      </c>
      <c r="G18" s="3">
        <f>F18/E18</f>
        <v>1.4925373134328358E-2</v>
      </c>
    </row>
    <row r="19" spans="4:7" x14ac:dyDescent="0.35">
      <c r="D19" t="s">
        <v>95</v>
      </c>
      <c r="E19">
        <f>COUNTIF(Raw_Data!B2:B1001,"&gt;=56")</f>
        <v>264</v>
      </c>
      <c r="F19">
        <f>COUNTIFS(Raw_Data!B2:B1001,"&gt;=56",Raw_Data!J2:J1001,1)</f>
        <v>6</v>
      </c>
      <c r="G19" s="3">
        <f>F19/E19</f>
        <v>2.2727272727272728E-2</v>
      </c>
    </row>
    <row r="20" spans="4:7" x14ac:dyDescent="0.35">
      <c r="D20" t="s">
        <v>88</v>
      </c>
      <c r="E20">
        <f>SUM(E15:E19)</f>
        <v>1000</v>
      </c>
      <c r="F20">
        <f>SUM(F15:F19)</f>
        <v>17</v>
      </c>
      <c r="G20" s="3">
        <f>F20/E20</f>
        <v>1.7000000000000001E-2</v>
      </c>
    </row>
    <row r="23" spans="4:7" x14ac:dyDescent="0.35">
      <c r="D23" t="s">
        <v>96</v>
      </c>
      <c r="E23" t="s">
        <v>74</v>
      </c>
      <c r="F23" t="s">
        <v>75</v>
      </c>
      <c r="G23" t="s">
        <v>77</v>
      </c>
    </row>
    <row r="24" spans="4:7" x14ac:dyDescent="0.35">
      <c r="D24" t="s">
        <v>97</v>
      </c>
      <c r="E24">
        <f>COUNTIFS(Raw_Data!D2:D1001,"&gt;=0",Raw_Data!D2:D1001,"&lt;=12")</f>
        <v>176</v>
      </c>
      <c r="F24">
        <f>COUNTIFS(Raw_Data!D2:D1001,"&gt;=0",Raw_Data!D2:D1001,"&lt;=12",Raw_Data!J2:J1001,1)</f>
        <v>17</v>
      </c>
      <c r="G24" s="3">
        <f>F24/E24</f>
        <v>9.6590909090909088E-2</v>
      </c>
    </row>
    <row r="25" spans="4:7" x14ac:dyDescent="0.35">
      <c r="D25" t="s">
        <v>98</v>
      </c>
      <c r="E25">
        <f>COUNTIFS(Raw_Data!D2:D1001,"&gt;=13",Raw_Data!D2:D1001,"&lt;=24")</f>
        <v>194</v>
      </c>
      <c r="F25">
        <f>COUNTIFS(Raw_Data!D2:D1001,"&gt;=13",Raw_Data!D2:D1001,"&lt;=24",Raw_Data!J2:J1001,1)</f>
        <v>0</v>
      </c>
      <c r="G25" s="3">
        <f>F25/E25</f>
        <v>0</v>
      </c>
    </row>
    <row r="26" spans="4:7" x14ac:dyDescent="0.35">
      <c r="D26" t="s">
        <v>99</v>
      </c>
      <c r="E26">
        <f>COUNTIFS(Raw_Data!D2:D1001,"&gt;=25",Raw_Data!D2:D1001,"&lt;=36")</f>
        <v>175</v>
      </c>
      <c r="F26">
        <f>COUNTIFS(Raw_Data!D2:D1001,"&gt;=25",Raw_Data!D2:D1001,"&lt;=36",Raw_Data!J2:J1001,1)</f>
        <v>0</v>
      </c>
      <c r="G26" s="3">
        <f>F26/E26</f>
        <v>0</v>
      </c>
    </row>
    <row r="27" spans="4:7" x14ac:dyDescent="0.35">
      <c r="D27" t="s">
        <v>100</v>
      </c>
      <c r="E27">
        <f>COUNTIFS(Raw_Data!D2:D1001,"&gt;=37",Raw_Data!D2:D1001,"&lt;=48")</f>
        <v>163</v>
      </c>
      <c r="F27">
        <f>COUNTIFS(Raw_Data!D2:D1001,"&gt;=37",Raw_Data!D2:D1001,"&lt;=48",Raw_Data!J2:J1001,1)</f>
        <v>0</v>
      </c>
      <c r="G27" s="3">
        <f>F27/E27</f>
        <v>0</v>
      </c>
    </row>
    <row r="28" spans="4:7" x14ac:dyDescent="0.35">
      <c r="D28" t="s">
        <v>101</v>
      </c>
      <c r="E28">
        <f>COUNTIFS(Raw_Data!D2:D1001,"&gt;=49",Raw_Data!D2:D1001,"&lt;=60")</f>
        <v>159</v>
      </c>
      <c r="F28">
        <f>COUNTIFS(Raw_Data!D2:D1001,"&gt;=49",Raw_Data!D2:D1001,"&lt;=60",Raw_Data!J2:J1001,1)</f>
        <v>0</v>
      </c>
      <c r="G28" s="3">
        <f>F28/E28</f>
        <v>0</v>
      </c>
    </row>
    <row r="29" spans="4:7" x14ac:dyDescent="0.35">
      <c r="D29" t="s">
        <v>102</v>
      </c>
      <c r="E29">
        <f>COUNTIF(Raw_Data!D2:D1001,"&gt;=61")</f>
        <v>133</v>
      </c>
      <c r="F29">
        <f>COUNTIFS(Raw_Data!D2:D1001,"&gt;=61",Raw_Data!J2:J1001,1)</f>
        <v>0</v>
      </c>
      <c r="G29" s="3">
        <f>F29/E29</f>
        <v>0</v>
      </c>
    </row>
    <row r="30" spans="4:7" x14ac:dyDescent="0.35">
      <c r="D30" t="s">
        <v>88</v>
      </c>
      <c r="E30">
        <f>SUM(E24:E29)</f>
        <v>1000</v>
      </c>
      <c r="F30">
        <f>SUM(F24:F29)</f>
        <v>17</v>
      </c>
      <c r="G30" s="3">
        <f>F30/E30</f>
        <v>1.7000000000000001E-2</v>
      </c>
    </row>
    <row r="33" spans="4:7" x14ac:dyDescent="0.35">
      <c r="D33" t="s">
        <v>103</v>
      </c>
      <c r="E33" t="s">
        <v>74</v>
      </c>
      <c r="F33" t="s">
        <v>75</v>
      </c>
      <c r="G33" t="s">
        <v>77</v>
      </c>
    </row>
    <row r="34" spans="4:7" x14ac:dyDescent="0.35">
      <c r="D34">
        <v>1</v>
      </c>
      <c r="E34">
        <f>COUNTIF(Raw_Data!F2:F1001,1)</f>
        <v>245</v>
      </c>
      <c r="F34">
        <f>COUNTIFS(Raw_Data!F2:F1001,1,Raw_Data!J2:J1001,1)</f>
        <v>4</v>
      </c>
      <c r="G34" s="3">
        <f>F34/E34</f>
        <v>1.6326530612244899E-2</v>
      </c>
    </row>
    <row r="35" spans="4:7" x14ac:dyDescent="0.35">
      <c r="D35">
        <v>2</v>
      </c>
      <c r="E35">
        <f>COUNTIF(Raw_Data!F2:F1001,2)</f>
        <v>259</v>
      </c>
      <c r="F35">
        <f>COUNTIFS(Raw_Data!F2:F1001,2,Raw_Data!J2:J1001,1)</f>
        <v>2</v>
      </c>
      <c r="G35" s="3">
        <f>F35/E35</f>
        <v>7.7220077220077222E-3</v>
      </c>
    </row>
    <row r="36" spans="4:7" x14ac:dyDescent="0.35">
      <c r="D36">
        <v>3</v>
      </c>
      <c r="E36">
        <f>COUNTIF(Raw_Data!F2:F1001,3)</f>
        <v>262</v>
      </c>
      <c r="F36">
        <f>COUNTIFS(Raw_Data!F2:F1001,3,Raw_Data!J2:J1001,1)</f>
        <v>2</v>
      </c>
      <c r="G36" s="3">
        <f>F36/E36</f>
        <v>7.6335877862595417E-3</v>
      </c>
    </row>
    <row r="37" spans="4:7" x14ac:dyDescent="0.35">
      <c r="D37">
        <v>4</v>
      </c>
      <c r="E37">
        <f>COUNTIF(Raw_Data!F2:F1001,4)</f>
        <v>234</v>
      </c>
      <c r="F37">
        <f>COUNTIFS(Raw_Data!F2:F1001,4,Raw_Data!J2:J1001,1)</f>
        <v>9</v>
      </c>
      <c r="G37" s="3">
        <f>F37/E37</f>
        <v>3.8461538461538464E-2</v>
      </c>
    </row>
    <row r="38" spans="4:7" x14ac:dyDescent="0.35">
      <c r="D38" t="s">
        <v>88</v>
      </c>
      <c r="E38">
        <f>SUM(E34:E37)</f>
        <v>1000</v>
      </c>
      <c r="F38">
        <f>SUM(F34:F37)</f>
        <v>17</v>
      </c>
      <c r="G38" s="3">
        <f>F38/E38</f>
        <v>1.7000000000000001E-2</v>
      </c>
    </row>
    <row r="42" spans="4:7" x14ac:dyDescent="0.35">
      <c r="D42" t="s">
        <v>104</v>
      </c>
      <c r="E42" t="s">
        <v>74</v>
      </c>
      <c r="F42" t="s">
        <v>75</v>
      </c>
      <c r="G42" t="s">
        <v>77</v>
      </c>
    </row>
    <row r="43" spans="4:7" x14ac:dyDescent="0.35">
      <c r="D43" t="s">
        <v>105</v>
      </c>
      <c r="E43">
        <f>COUNTIF(Raw_Data!H2:H1001,0)</f>
        <v>500</v>
      </c>
      <c r="F43">
        <f>COUNTIFS(Raw_Data!H2:H1001,0,Raw_Data!J2:J1001,1)</f>
        <v>17</v>
      </c>
      <c r="G43" s="3">
        <f>F43/E43</f>
        <v>3.4000000000000002E-2</v>
      </c>
    </row>
    <row r="44" spans="4:7" x14ac:dyDescent="0.35">
      <c r="D44" t="s">
        <v>106</v>
      </c>
      <c r="E44">
        <f>COUNTIF(Raw_Data!H2:H1001,1)</f>
        <v>500</v>
      </c>
      <c r="F44">
        <f>COUNTIFS(Raw_Data!H2:H1001,1,Raw_Data!J2:J1001,1)</f>
        <v>0</v>
      </c>
      <c r="G44" s="3">
        <f>F44/E44</f>
        <v>0</v>
      </c>
    </row>
    <row r="45" spans="4:7" x14ac:dyDescent="0.35">
      <c r="D45" t="s">
        <v>88</v>
      </c>
      <c r="E45">
        <f>SUM(E43:E44)</f>
        <v>1000</v>
      </c>
      <c r="F45">
        <f>SUM(F43:F44)</f>
        <v>17</v>
      </c>
      <c r="G45" s="3">
        <f>F45/E45</f>
        <v>1.7000000000000001E-2</v>
      </c>
    </row>
    <row r="48" spans="4:7" x14ac:dyDescent="0.35">
      <c r="D48" t="s">
        <v>107</v>
      </c>
      <c r="E48" t="s">
        <v>74</v>
      </c>
      <c r="F48" t="s">
        <v>75</v>
      </c>
      <c r="G48" t="s">
        <v>77</v>
      </c>
    </row>
    <row r="49" spans="4:7" x14ac:dyDescent="0.35">
      <c r="D49" t="s">
        <v>108</v>
      </c>
      <c r="E49">
        <f>COUNTIF(Raw_Data!G2:G1001,0)</f>
        <v>493</v>
      </c>
      <c r="F49">
        <f>COUNTIFS(Raw_Data!G2:G1001,0,Raw_Data!J2:J1001,1)</f>
        <v>6</v>
      </c>
      <c r="G49" s="3">
        <f>F49/E49</f>
        <v>1.2170385395537525E-2</v>
      </c>
    </row>
    <row r="50" spans="4:7" x14ac:dyDescent="0.35">
      <c r="D50" t="s">
        <v>109</v>
      </c>
      <c r="E50">
        <f>COUNTIF(Raw_Data!G2:G1001,1)</f>
        <v>507</v>
      </c>
      <c r="F50">
        <f>COUNTIFS(Raw_Data!G2:G1001,1,Raw_Data!J2:J1001,1)</f>
        <v>11</v>
      </c>
      <c r="G50" s="3">
        <f>F50/E50</f>
        <v>2.1696252465483234E-2</v>
      </c>
    </row>
    <row r="51" spans="4:7" x14ac:dyDescent="0.35">
      <c r="D51" t="s">
        <v>88</v>
      </c>
      <c r="E51">
        <f>SUM(E49:E50)</f>
        <v>1000</v>
      </c>
      <c r="F51">
        <f>SUM(F49:F50)</f>
        <v>17</v>
      </c>
      <c r="G51" s="3">
        <f>F51/E51</f>
        <v>1.7000000000000001E-2</v>
      </c>
    </row>
    <row r="55" spans="4:7" x14ac:dyDescent="0.35">
      <c r="D55" t="s">
        <v>110</v>
      </c>
      <c r="E55" t="s">
        <v>74</v>
      </c>
      <c r="F55" t="s">
        <v>75</v>
      </c>
      <c r="G55" t="s">
        <v>77</v>
      </c>
    </row>
    <row r="56" spans="4:7" x14ac:dyDescent="0.35">
      <c r="D56" t="s">
        <v>111</v>
      </c>
      <c r="E56">
        <f>COUNTIFS(Raw_Data!E2:E1001,"&gt;=0",Raw_Data!E2:E1001,"&lt;10000")</f>
        <v>198</v>
      </c>
      <c r="F56">
        <f>COUNTIFS(Raw_Data!E2:E1001,"&gt;=0",Raw_Data!E2:E1001,"&lt;10000",Raw_Data!J2:J1001,1)</f>
        <v>17</v>
      </c>
      <c r="G56" s="3">
        <f>F56/E56</f>
        <v>8.5858585858585856E-2</v>
      </c>
    </row>
    <row r="57" spans="4:7" x14ac:dyDescent="0.35">
      <c r="D57" t="s">
        <v>112</v>
      </c>
      <c r="E57">
        <f>COUNTIFS(Raw_Data!E2:E1001,"&gt;=10000",Raw_Data!E2:E1001,"&lt;20000")</f>
        <v>189</v>
      </c>
      <c r="F57">
        <f>COUNTIFS(Raw_Data!E2:E1001,"&gt;=10000",Raw_Data!E2:E1001,"&lt;20000",Raw_Data!J2:J1001,1)</f>
        <v>0</v>
      </c>
      <c r="G57" s="3">
        <f>F57/E57</f>
        <v>0</v>
      </c>
    </row>
    <row r="58" spans="4:7" x14ac:dyDescent="0.35">
      <c r="D58" t="s">
        <v>113</v>
      </c>
      <c r="E58">
        <f>COUNTIFS(Raw_Data!E2:E1001,"&gt;=20000",Raw_Data!E2:E1001,"&lt;30000")</f>
        <v>205</v>
      </c>
      <c r="F58">
        <f>COUNTIFS(Raw_Data!E2:E1001,"&gt;=20000",Raw_Data!E2:E1001,"&lt;30000",Raw_Data!J2:J1001,1)</f>
        <v>0</v>
      </c>
      <c r="G58" s="3">
        <f>F58/E58</f>
        <v>0</v>
      </c>
    </row>
    <row r="59" spans="4:7" x14ac:dyDescent="0.35">
      <c r="D59" t="s">
        <v>114</v>
      </c>
      <c r="E59">
        <f>COUNTIFS(Raw_Data!E2:E1001,"&gt;=30000",Raw_Data!E2:E1001,"&lt;40000")</f>
        <v>194</v>
      </c>
      <c r="F59">
        <f>COUNTIFS(Raw_Data!E2:E1001,"&gt;=30000",Raw_Data!E2:E1001,"&lt;40000",Raw_Data!J2:J1001,1)</f>
        <v>0</v>
      </c>
      <c r="G59" s="3">
        <f>F59/E59</f>
        <v>0</v>
      </c>
    </row>
    <row r="60" spans="4:7" x14ac:dyDescent="0.35">
      <c r="D60" t="s">
        <v>115</v>
      </c>
      <c r="E60">
        <f>COUNTIFS(Raw_Data!E2:E1001,"&gt;=40000")</f>
        <v>214</v>
      </c>
      <c r="F60">
        <f>COUNTIFS(Raw_Data!E2:E1001,"&gt;=40000",Raw_Data!J2:J1001,1)</f>
        <v>0</v>
      </c>
      <c r="G60" s="3">
        <f>F60/E60</f>
        <v>0</v>
      </c>
    </row>
    <row r="61" spans="4:7" x14ac:dyDescent="0.35">
      <c r="D61" t="s">
        <v>88</v>
      </c>
      <c r="E61">
        <f>SUM(E56:E60)</f>
        <v>1000</v>
      </c>
      <c r="F61">
        <f>SUM(F56:F60)</f>
        <v>17</v>
      </c>
      <c r="G61" s="3">
        <f>F61/E61</f>
        <v>1.7000000000000001E-2</v>
      </c>
    </row>
    <row r="65" spans="1:7" x14ac:dyDescent="0.35">
      <c r="D65" t="s">
        <v>116</v>
      </c>
      <c r="E65" t="s">
        <v>74</v>
      </c>
      <c r="F65" t="s">
        <v>75</v>
      </c>
      <c r="G65" t="s">
        <v>77</v>
      </c>
    </row>
    <row r="66" spans="1:7" x14ac:dyDescent="0.35">
      <c r="D66" t="s">
        <v>117</v>
      </c>
      <c r="E66">
        <f>COUNTIFS(Raw_Data!I2:I1001,"&gt;=0",Raw_Data!I2:I1001,"&lt;50000")</f>
        <v>230</v>
      </c>
      <c r="F66">
        <f>COUNTIFS(Raw_Data!I2:I1001,"&gt;=0",Raw_Data!I2:I1001,"&lt;50000",Raw_Data!J2:J1001,1)</f>
        <v>5</v>
      </c>
      <c r="G66" s="3">
        <f>F66/E66</f>
        <v>2.1739130434782608E-2</v>
      </c>
    </row>
    <row r="67" spans="1:7" x14ac:dyDescent="0.35">
      <c r="D67" t="s">
        <v>118</v>
      </c>
      <c r="E67">
        <f>COUNTIFS(Raw_Data!I2:I1001,"&gt;=50000",Raw_Data!I2:I1001,"&lt;100000")</f>
        <v>386</v>
      </c>
      <c r="F67">
        <f>COUNTIFS(Raw_Data!I2:I1001,"&gt;=50000",Raw_Data!I2:I1001,"&lt;100000",Raw_Data!J2:J1001,1)</f>
        <v>7</v>
      </c>
      <c r="G67" s="3">
        <f>F67/E67</f>
        <v>1.8134715025906734E-2</v>
      </c>
    </row>
    <row r="68" spans="1:7" x14ac:dyDescent="0.35">
      <c r="D68" t="s">
        <v>119</v>
      </c>
      <c r="E68">
        <f>COUNTIFS(Raw_Data!I2:I1001,"&gt;=100000")</f>
        <v>384</v>
      </c>
      <c r="F68">
        <f>COUNTIFS(Raw_Data!I2:I1001,"&gt;=100000",Raw_Data!J2:J1001,1)</f>
        <v>5</v>
      </c>
      <c r="G68" s="3">
        <f>F68/E68</f>
        <v>1.3020833333333334E-2</v>
      </c>
    </row>
    <row r="69" spans="1:7" x14ac:dyDescent="0.35">
      <c r="D69" t="s">
        <v>88</v>
      </c>
      <c r="E69">
        <f>SUM(E66:E68)</f>
        <v>1000</v>
      </c>
      <c r="F69">
        <f>SUM(F66:F68)</f>
        <v>17</v>
      </c>
      <c r="G69" s="3">
        <f>F69/E69</f>
        <v>1.7000000000000001E-2</v>
      </c>
    </row>
    <row r="77" spans="1:7" ht="15.5" x14ac:dyDescent="0.35">
      <c r="A77" s="9" t="s">
        <v>174</v>
      </c>
    </row>
    <row r="78" spans="1:7" ht="15.5" x14ac:dyDescent="0.35">
      <c r="A78" s="9" t="s">
        <v>175</v>
      </c>
    </row>
    <row r="79" spans="1:7" ht="15.5" x14ac:dyDescent="0.35">
      <c r="A79" s="9" t="s">
        <v>176</v>
      </c>
    </row>
    <row r="80" spans="1:7" ht="15.5" x14ac:dyDescent="0.35">
      <c r="A80" s="9" t="s">
        <v>177</v>
      </c>
    </row>
    <row r="81" spans="1:1" ht="15.5" x14ac:dyDescent="0.35">
      <c r="A81" s="9" t="s">
        <v>156</v>
      </c>
    </row>
    <row r="82" spans="1:1" ht="15.5" x14ac:dyDescent="0.35">
      <c r="A82" s="9" t="s">
        <v>178</v>
      </c>
    </row>
    <row r="83" spans="1:1" ht="15.5" x14ac:dyDescent="0.35">
      <c r="A83" s="9" t="s">
        <v>179</v>
      </c>
    </row>
  </sheetData>
  <pageMargins left="0.7" right="0.7" top="0.75" bottom="0.75" header="0.3" footer="0.3"/>
  <pageSetup orientation="portrait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D461-8700-4ACA-942E-507942E808DA}">
  <dimension ref="A1:P1001"/>
  <sheetViews>
    <sheetView topLeftCell="E3" workbookViewId="0">
      <selection activeCell="M8" sqref="M8"/>
    </sheetView>
  </sheetViews>
  <sheetFormatPr defaultRowHeight="14.5" x14ac:dyDescent="0.35"/>
  <cols>
    <col min="1" max="1" width="12.7265625" customWidth="1"/>
    <col min="2" max="2" width="5.90625" customWidth="1"/>
    <col min="3" max="3" width="8.7265625" customWidth="1"/>
    <col min="4" max="4" width="10.08984375" customWidth="1"/>
    <col min="5" max="5" width="15.453125" customWidth="1"/>
    <col min="6" max="6" width="12.1796875" customWidth="1"/>
    <col min="7" max="7" width="9.26953125" customWidth="1"/>
    <col min="8" max="8" width="9.81640625" bestFit="1" customWidth="1"/>
    <col min="9" max="9" width="7.90625" customWidth="1"/>
    <col min="10" max="10" width="11.08984375" customWidth="1"/>
    <col min="11" max="11" width="11.54296875" bestFit="1" customWidth="1"/>
    <col min="13" max="13" width="12.36328125" customWidth="1"/>
    <col min="14" max="14" width="11.7265625" customWidth="1"/>
    <col min="15" max="15" width="19.36328125" customWidth="1"/>
    <col min="16" max="16" width="17.1796875" customWidth="1"/>
  </cols>
  <sheetData>
    <row r="1" spans="1:16" x14ac:dyDescent="0.35">
      <c r="A1" t="s">
        <v>0</v>
      </c>
      <c r="B1" t="s">
        <v>1</v>
      </c>
      <c r="C1" t="s">
        <v>120</v>
      </c>
      <c r="D1" t="s">
        <v>121</v>
      </c>
      <c r="E1" t="s">
        <v>122</v>
      </c>
      <c r="F1" t="s">
        <v>123</v>
      </c>
      <c r="G1" t="s">
        <v>4</v>
      </c>
      <c r="H1" t="s">
        <v>124</v>
      </c>
      <c r="I1" t="s">
        <v>9</v>
      </c>
      <c r="J1" t="s">
        <v>125</v>
      </c>
      <c r="K1" t="s">
        <v>126</v>
      </c>
      <c r="M1" t="s">
        <v>126</v>
      </c>
      <c r="N1" t="s">
        <v>85</v>
      </c>
      <c r="O1" t="s">
        <v>75</v>
      </c>
      <c r="P1" t="s">
        <v>77</v>
      </c>
    </row>
    <row r="2" spans="1:16" x14ac:dyDescent="0.35">
      <c r="A2">
        <f>Raw_Data!A2</f>
        <v>1</v>
      </c>
      <c r="B2">
        <f>Raw_Data!B2</f>
        <v>56</v>
      </c>
      <c r="C2">
        <f>Raw_Data!D2</f>
        <v>40</v>
      </c>
      <c r="D2">
        <f>Raw_Data!F2</f>
        <v>3</v>
      </c>
      <c r="E2">
        <f>Raw_Data!H2</f>
        <v>1</v>
      </c>
      <c r="F2">
        <f>Raw_Data!G2</f>
        <v>1</v>
      </c>
      <c r="G2">
        <f>Raw_Data!E2</f>
        <v>41393.42</v>
      </c>
      <c r="H2">
        <f>Raw_Data!I2</f>
        <v>101505.9</v>
      </c>
      <c r="I2">
        <f>Raw_Data!J2</f>
        <v>0</v>
      </c>
      <c r="J2">
        <f>IF(E2=0,2,0)+IF(D2=4,2,0)+IF(C2&lt;=12,2,0)+IF(B2&gt;=56,1,0)+IF(G2&gt;=40000,1,0)</f>
        <v>2</v>
      </c>
      <c r="K2" t="str">
        <f>IF(J2&gt;=5,"High Risk",IF(J2&gt;=3,"Medium Risk","Low Risk"))</f>
        <v>Low Risk</v>
      </c>
      <c r="M2" t="s">
        <v>127</v>
      </c>
      <c r="N2">
        <f>COUNTIF(K2:K1001,"Low Risk")</f>
        <v>603</v>
      </c>
      <c r="O2">
        <f>COUNTIFS(K2:K1001,"Low Risk",I2:I1001,1)</f>
        <v>0</v>
      </c>
      <c r="P2" s="3">
        <f>O2/N2</f>
        <v>0</v>
      </c>
    </row>
    <row r="3" spans="1:16" x14ac:dyDescent="0.35">
      <c r="A3">
        <f>Raw_Data!A3</f>
        <v>2</v>
      </c>
      <c r="B3">
        <f>Raw_Data!B3</f>
        <v>69</v>
      </c>
      <c r="C3">
        <f>Raw_Data!D3</f>
        <v>45</v>
      </c>
      <c r="D3">
        <f>Raw_Data!F3</f>
        <v>2</v>
      </c>
      <c r="E3">
        <f>Raw_Data!H3</f>
        <v>0</v>
      </c>
      <c r="F3">
        <f>Raw_Data!G3</f>
        <v>1</v>
      </c>
      <c r="G3">
        <f>Raw_Data!E3</f>
        <v>39385.65</v>
      </c>
      <c r="H3">
        <f>Raw_Data!I3</f>
        <v>125091.33</v>
      </c>
      <c r="I3">
        <f>Raw_Data!J3</f>
        <v>0</v>
      </c>
      <c r="J3">
        <f t="shared" ref="J3:J66" si="0">IF(E3=0,2,0)+IF(D3=4,2,0)+IF(C3&lt;=12,2,0)+IF(B3&gt;=56,1,0)+IF(G3&gt;=40000,1,0)</f>
        <v>3</v>
      </c>
      <c r="K3" t="str">
        <f t="shared" ref="K3:K66" si="1">IF(J3&gt;=5,"High Risk",IF(J3&gt;=3,"Medium Risk","Low Risk"))</f>
        <v>Medium Risk</v>
      </c>
      <c r="M3" t="s">
        <v>128</v>
      </c>
      <c r="N3">
        <f>COUNTIF(K2:K1001,"Medium Risk")</f>
        <v>296</v>
      </c>
      <c r="O3">
        <f>COUNTIFS(K3:K1002,"Medium Risk",I3:I1002,1)</f>
        <v>7</v>
      </c>
      <c r="P3" s="3">
        <f t="shared" ref="P3:P4" si="2">O3/N3</f>
        <v>2.364864864864865E-2</v>
      </c>
    </row>
    <row r="4" spans="1:16" x14ac:dyDescent="0.35">
      <c r="A4">
        <f>Raw_Data!A4</f>
        <v>3</v>
      </c>
      <c r="B4">
        <f>Raw_Data!B4</f>
        <v>46</v>
      </c>
      <c r="C4">
        <f>Raw_Data!D4</f>
        <v>62</v>
      </c>
      <c r="D4">
        <f>Raw_Data!F4</f>
        <v>2</v>
      </c>
      <c r="E4">
        <f>Raw_Data!H4</f>
        <v>1</v>
      </c>
      <c r="F4">
        <f>Raw_Data!G4</f>
        <v>0</v>
      </c>
      <c r="G4">
        <f>Raw_Data!E4</f>
        <v>31221.27</v>
      </c>
      <c r="H4">
        <f>Raw_Data!I4</f>
        <v>99514.03</v>
      </c>
      <c r="I4">
        <f>Raw_Data!J4</f>
        <v>0</v>
      </c>
      <c r="J4">
        <f t="shared" si="0"/>
        <v>0</v>
      </c>
      <c r="K4" t="str">
        <f t="shared" si="1"/>
        <v>Low Risk</v>
      </c>
      <c r="M4" t="s">
        <v>129</v>
      </c>
      <c r="N4">
        <f>COUNTIF(K2:K1001,"High Risk")</f>
        <v>101</v>
      </c>
      <c r="O4">
        <f>COUNTIFS(K4:K1003,"High Risk",I4:I1003,1)</f>
        <v>10</v>
      </c>
      <c r="P4" s="3">
        <f t="shared" si="2"/>
        <v>9.9009900990099015E-2</v>
      </c>
    </row>
    <row r="5" spans="1:16" x14ac:dyDescent="0.35">
      <c r="A5">
        <f>Raw_Data!A5</f>
        <v>4</v>
      </c>
      <c r="B5">
        <f>Raw_Data!B5</f>
        <v>32</v>
      </c>
      <c r="C5">
        <f>Raw_Data!D5</f>
        <v>58</v>
      </c>
      <c r="D5">
        <f>Raw_Data!F5</f>
        <v>3</v>
      </c>
      <c r="E5">
        <f>Raw_Data!H5</f>
        <v>1</v>
      </c>
      <c r="F5">
        <f>Raw_Data!G5</f>
        <v>0</v>
      </c>
      <c r="G5">
        <f>Raw_Data!E5</f>
        <v>24724.06</v>
      </c>
      <c r="H5">
        <f>Raw_Data!I5</f>
        <v>58447.18</v>
      </c>
      <c r="I5">
        <f>Raw_Data!J5</f>
        <v>0</v>
      </c>
      <c r="J5">
        <f t="shared" si="0"/>
        <v>0</v>
      </c>
      <c r="K5" t="str">
        <f t="shared" si="1"/>
        <v>Low Risk</v>
      </c>
      <c r="M5" t="s">
        <v>88</v>
      </c>
      <c r="N5">
        <f>SUM(N2:N4)</f>
        <v>1000</v>
      </c>
      <c r="O5">
        <f>SUM(O2:O4)</f>
        <v>17</v>
      </c>
      <c r="P5" s="3">
        <f>O5/N5</f>
        <v>1.7000000000000001E-2</v>
      </c>
    </row>
    <row r="6" spans="1:16" x14ac:dyDescent="0.35">
      <c r="A6">
        <f>Raw_Data!A6</f>
        <v>5</v>
      </c>
      <c r="B6">
        <f>Raw_Data!B6</f>
        <v>60</v>
      </c>
      <c r="C6">
        <f>Raw_Data!D6</f>
        <v>67</v>
      </c>
      <c r="D6">
        <f>Raw_Data!F6</f>
        <v>3</v>
      </c>
      <c r="E6">
        <f>Raw_Data!H6</f>
        <v>1</v>
      </c>
      <c r="F6">
        <f>Raw_Data!G6</f>
        <v>1</v>
      </c>
      <c r="G6">
        <f>Raw_Data!E6</f>
        <v>48977.54</v>
      </c>
      <c r="H6">
        <f>Raw_Data!I6</f>
        <v>53246.68</v>
      </c>
      <c r="I6">
        <f>Raw_Data!J6</f>
        <v>0</v>
      </c>
      <c r="J6">
        <f t="shared" si="0"/>
        <v>2</v>
      </c>
      <c r="K6" t="str">
        <f t="shared" si="1"/>
        <v>Low Risk</v>
      </c>
    </row>
    <row r="7" spans="1:16" x14ac:dyDescent="0.35">
      <c r="A7">
        <f>Raw_Data!A7</f>
        <v>6</v>
      </c>
      <c r="B7">
        <f>Raw_Data!B7</f>
        <v>25</v>
      </c>
      <c r="C7">
        <f>Raw_Data!D7</f>
        <v>56</v>
      </c>
      <c r="D7">
        <f>Raw_Data!F7</f>
        <v>4</v>
      </c>
      <c r="E7">
        <f>Raw_Data!H7</f>
        <v>1</v>
      </c>
      <c r="F7">
        <f>Raw_Data!G7</f>
        <v>0</v>
      </c>
      <c r="G7">
        <f>Raw_Data!E7</f>
        <v>7248.25</v>
      </c>
      <c r="H7">
        <f>Raw_Data!I7</f>
        <v>62564.72</v>
      </c>
      <c r="I7">
        <f>Raw_Data!J7</f>
        <v>0</v>
      </c>
      <c r="J7">
        <f t="shared" si="0"/>
        <v>2</v>
      </c>
      <c r="K7" t="str">
        <f t="shared" si="1"/>
        <v>Low Risk</v>
      </c>
    </row>
    <row r="8" spans="1:16" ht="15.5" x14ac:dyDescent="0.35">
      <c r="A8">
        <f>Raw_Data!A8</f>
        <v>7</v>
      </c>
      <c r="B8">
        <f>Raw_Data!B8</f>
        <v>38</v>
      </c>
      <c r="C8">
        <f>Raw_Data!D8</f>
        <v>40</v>
      </c>
      <c r="D8">
        <f>Raw_Data!F8</f>
        <v>1</v>
      </c>
      <c r="E8">
        <f>Raw_Data!H8</f>
        <v>0</v>
      </c>
      <c r="F8">
        <f>Raw_Data!G8</f>
        <v>0</v>
      </c>
      <c r="G8">
        <f>Raw_Data!E8</f>
        <v>36257.79</v>
      </c>
      <c r="H8">
        <f>Raw_Data!I8</f>
        <v>41400.67</v>
      </c>
      <c r="I8">
        <f>Raw_Data!J8</f>
        <v>0</v>
      </c>
      <c r="J8">
        <f t="shared" si="0"/>
        <v>2</v>
      </c>
      <c r="K8" t="str">
        <f t="shared" si="1"/>
        <v>Low Risk</v>
      </c>
      <c r="M8" s="9" t="s">
        <v>130</v>
      </c>
    </row>
    <row r="9" spans="1:16" ht="15.5" x14ac:dyDescent="0.35">
      <c r="A9">
        <f>Raw_Data!A9</f>
        <v>8</v>
      </c>
      <c r="B9">
        <f>Raw_Data!B9</f>
        <v>56</v>
      </c>
      <c r="C9">
        <f>Raw_Data!D9</f>
        <v>40</v>
      </c>
      <c r="D9">
        <f>Raw_Data!F9</f>
        <v>1</v>
      </c>
      <c r="E9">
        <f>Raw_Data!H9</f>
        <v>1</v>
      </c>
      <c r="F9">
        <f>Raw_Data!G9</f>
        <v>1</v>
      </c>
      <c r="G9">
        <f>Raw_Data!E9</f>
        <v>9559.5400000000009</v>
      </c>
      <c r="H9">
        <f>Raw_Data!I9</f>
        <v>43552.34</v>
      </c>
      <c r="I9">
        <f>Raw_Data!J9</f>
        <v>0</v>
      </c>
      <c r="J9">
        <f t="shared" si="0"/>
        <v>1</v>
      </c>
      <c r="K9" t="str">
        <f t="shared" si="1"/>
        <v>Low Risk</v>
      </c>
      <c r="M9" s="9" t="s">
        <v>131</v>
      </c>
    </row>
    <row r="10" spans="1:16" ht="15.5" x14ac:dyDescent="0.35">
      <c r="A10">
        <f>Raw_Data!A10</f>
        <v>9</v>
      </c>
      <c r="B10">
        <f>Raw_Data!B10</f>
        <v>36</v>
      </c>
      <c r="C10">
        <f>Raw_Data!D10</f>
        <v>33</v>
      </c>
      <c r="D10">
        <f>Raw_Data!F10</f>
        <v>4</v>
      </c>
      <c r="E10">
        <f>Raw_Data!H10</f>
        <v>0</v>
      </c>
      <c r="F10">
        <f>Raw_Data!G10</f>
        <v>0</v>
      </c>
      <c r="G10">
        <f>Raw_Data!E10</f>
        <v>16913.16</v>
      </c>
      <c r="H10">
        <f>Raw_Data!I10</f>
        <v>122789.84</v>
      </c>
      <c r="I10">
        <f>Raw_Data!J10</f>
        <v>0</v>
      </c>
      <c r="J10">
        <f t="shared" si="0"/>
        <v>4</v>
      </c>
      <c r="K10" t="str">
        <f t="shared" si="1"/>
        <v>Medium Risk</v>
      </c>
      <c r="M10" s="9" t="s">
        <v>132</v>
      </c>
    </row>
    <row r="11" spans="1:16" ht="15.5" x14ac:dyDescent="0.35">
      <c r="A11">
        <f>Raw_Data!A11</f>
        <v>10</v>
      </c>
      <c r="B11">
        <f>Raw_Data!B11</f>
        <v>40</v>
      </c>
      <c r="C11">
        <f>Raw_Data!D11</f>
        <v>6</v>
      </c>
      <c r="D11">
        <f>Raw_Data!F11</f>
        <v>2</v>
      </c>
      <c r="E11">
        <f>Raw_Data!H11</f>
        <v>1</v>
      </c>
      <c r="F11">
        <f>Raw_Data!G11</f>
        <v>1</v>
      </c>
      <c r="G11">
        <f>Raw_Data!E11</f>
        <v>15434.94</v>
      </c>
      <c r="H11">
        <f>Raw_Data!I11</f>
        <v>70015.23</v>
      </c>
      <c r="I11">
        <f>Raw_Data!J11</f>
        <v>0</v>
      </c>
      <c r="J11">
        <f t="shared" si="0"/>
        <v>2</v>
      </c>
      <c r="K11" t="str">
        <f t="shared" si="1"/>
        <v>Low Risk</v>
      </c>
      <c r="M11" s="9" t="s">
        <v>133</v>
      </c>
    </row>
    <row r="12" spans="1:16" ht="15.5" x14ac:dyDescent="0.35">
      <c r="A12">
        <f>Raw_Data!A12</f>
        <v>11</v>
      </c>
      <c r="B12">
        <f>Raw_Data!B12</f>
        <v>28</v>
      </c>
      <c r="C12">
        <f>Raw_Data!D12</f>
        <v>19</v>
      </c>
      <c r="D12">
        <f>Raw_Data!F12</f>
        <v>3</v>
      </c>
      <c r="E12">
        <f>Raw_Data!H12</f>
        <v>0</v>
      </c>
      <c r="F12">
        <f>Raw_Data!G12</f>
        <v>1</v>
      </c>
      <c r="G12">
        <f>Raw_Data!E12</f>
        <v>47351.8</v>
      </c>
      <c r="H12">
        <f>Raw_Data!I12</f>
        <v>76679.37</v>
      </c>
      <c r="I12">
        <f>Raw_Data!J12</f>
        <v>0</v>
      </c>
      <c r="J12">
        <f t="shared" si="0"/>
        <v>3</v>
      </c>
      <c r="K12" t="str">
        <f t="shared" si="1"/>
        <v>Medium Risk</v>
      </c>
      <c r="M12" s="9" t="s">
        <v>134</v>
      </c>
    </row>
    <row r="13" spans="1:16" x14ac:dyDescent="0.35">
      <c r="A13">
        <f>Raw_Data!A13</f>
        <v>12</v>
      </c>
      <c r="B13">
        <f>Raw_Data!B13</f>
        <v>28</v>
      </c>
      <c r="C13">
        <f>Raw_Data!D13</f>
        <v>40</v>
      </c>
      <c r="D13">
        <f>Raw_Data!F13</f>
        <v>3</v>
      </c>
      <c r="E13">
        <f>Raw_Data!H13</f>
        <v>0</v>
      </c>
      <c r="F13">
        <f>Raw_Data!G13</f>
        <v>1</v>
      </c>
      <c r="G13">
        <f>Raw_Data!E13</f>
        <v>48367.81</v>
      </c>
      <c r="H13">
        <f>Raw_Data!I13</f>
        <v>97226.43</v>
      </c>
      <c r="I13">
        <f>Raw_Data!J13</f>
        <v>0</v>
      </c>
      <c r="J13">
        <f t="shared" si="0"/>
        <v>3</v>
      </c>
      <c r="K13" t="str">
        <f t="shared" si="1"/>
        <v>Medium Risk</v>
      </c>
    </row>
    <row r="14" spans="1:16" x14ac:dyDescent="0.35">
      <c r="A14">
        <f>Raw_Data!A14</f>
        <v>13</v>
      </c>
      <c r="B14">
        <f>Raw_Data!B14</f>
        <v>41</v>
      </c>
      <c r="C14">
        <f>Raw_Data!D14</f>
        <v>59</v>
      </c>
      <c r="D14">
        <f>Raw_Data!F14</f>
        <v>3</v>
      </c>
      <c r="E14">
        <f>Raw_Data!H14</f>
        <v>1</v>
      </c>
      <c r="F14">
        <f>Raw_Data!G14</f>
        <v>1</v>
      </c>
      <c r="G14">
        <f>Raw_Data!E14</f>
        <v>9150.77</v>
      </c>
      <c r="H14">
        <f>Raw_Data!I14</f>
        <v>96654.95</v>
      </c>
      <c r="I14">
        <f>Raw_Data!J14</f>
        <v>0</v>
      </c>
      <c r="J14">
        <f t="shared" si="0"/>
        <v>0</v>
      </c>
      <c r="K14" t="str">
        <f t="shared" si="1"/>
        <v>Low Risk</v>
      </c>
    </row>
    <row r="15" spans="1:16" x14ac:dyDescent="0.35">
      <c r="A15">
        <f>Raw_Data!A15</f>
        <v>14</v>
      </c>
      <c r="B15">
        <f>Raw_Data!B15</f>
        <v>53</v>
      </c>
      <c r="C15">
        <f>Raw_Data!D15</f>
        <v>59</v>
      </c>
      <c r="D15">
        <f>Raw_Data!F15</f>
        <v>2</v>
      </c>
      <c r="E15">
        <f>Raw_Data!H15</f>
        <v>1</v>
      </c>
      <c r="F15">
        <f>Raw_Data!G15</f>
        <v>1</v>
      </c>
      <c r="G15">
        <f>Raw_Data!E15</f>
        <v>1101.76</v>
      </c>
      <c r="H15">
        <f>Raw_Data!I15</f>
        <v>28758.99</v>
      </c>
      <c r="I15">
        <f>Raw_Data!J15</f>
        <v>0</v>
      </c>
      <c r="J15">
        <f t="shared" si="0"/>
        <v>0</v>
      </c>
      <c r="K15" t="str">
        <f t="shared" si="1"/>
        <v>Low Risk</v>
      </c>
    </row>
    <row r="16" spans="1:16" x14ac:dyDescent="0.35">
      <c r="A16">
        <f>Raw_Data!A16</f>
        <v>15</v>
      </c>
      <c r="B16">
        <f>Raw_Data!B16</f>
        <v>57</v>
      </c>
      <c r="C16">
        <f>Raw_Data!D16</f>
        <v>48</v>
      </c>
      <c r="D16">
        <f>Raw_Data!F16</f>
        <v>3</v>
      </c>
      <c r="E16">
        <f>Raw_Data!H16</f>
        <v>1</v>
      </c>
      <c r="F16">
        <f>Raw_Data!G16</f>
        <v>0</v>
      </c>
      <c r="G16">
        <f>Raw_Data!E16</f>
        <v>36000.400000000001</v>
      </c>
      <c r="H16">
        <f>Raw_Data!I16</f>
        <v>128100.3</v>
      </c>
      <c r="I16">
        <f>Raw_Data!J16</f>
        <v>0</v>
      </c>
      <c r="J16">
        <f t="shared" si="0"/>
        <v>1</v>
      </c>
      <c r="K16" t="str">
        <f t="shared" si="1"/>
        <v>Low Risk</v>
      </c>
    </row>
    <row r="17" spans="1:11" x14ac:dyDescent="0.35">
      <c r="A17">
        <f>Raw_Data!A17</f>
        <v>16</v>
      </c>
      <c r="B17">
        <f>Raw_Data!B17</f>
        <v>41</v>
      </c>
      <c r="C17">
        <f>Raw_Data!D17</f>
        <v>41</v>
      </c>
      <c r="D17">
        <f>Raw_Data!F17</f>
        <v>3</v>
      </c>
      <c r="E17">
        <f>Raw_Data!H17</f>
        <v>0</v>
      </c>
      <c r="F17">
        <f>Raw_Data!G17</f>
        <v>1</v>
      </c>
      <c r="G17">
        <f>Raw_Data!E17</f>
        <v>20899.5</v>
      </c>
      <c r="H17">
        <f>Raw_Data!I17</f>
        <v>43052.45</v>
      </c>
      <c r="I17">
        <f>Raw_Data!J17</f>
        <v>0</v>
      </c>
      <c r="J17">
        <f t="shared" si="0"/>
        <v>2</v>
      </c>
      <c r="K17" t="str">
        <f t="shared" si="1"/>
        <v>Low Risk</v>
      </c>
    </row>
    <row r="18" spans="1:11" x14ac:dyDescent="0.35">
      <c r="A18">
        <f>Raw_Data!A18</f>
        <v>17</v>
      </c>
      <c r="B18">
        <f>Raw_Data!B18</f>
        <v>20</v>
      </c>
      <c r="C18">
        <f>Raw_Data!D18</f>
        <v>13</v>
      </c>
      <c r="D18">
        <f>Raw_Data!F18</f>
        <v>4</v>
      </c>
      <c r="E18">
        <f>Raw_Data!H18</f>
        <v>1</v>
      </c>
      <c r="F18">
        <f>Raw_Data!G18</f>
        <v>0</v>
      </c>
      <c r="G18">
        <f>Raw_Data!E18</f>
        <v>4442.01</v>
      </c>
      <c r="H18">
        <f>Raw_Data!I18</f>
        <v>113999.31</v>
      </c>
      <c r="I18">
        <f>Raw_Data!J18</f>
        <v>0</v>
      </c>
      <c r="J18">
        <f t="shared" si="0"/>
        <v>2</v>
      </c>
      <c r="K18" t="str">
        <f t="shared" si="1"/>
        <v>Low Risk</v>
      </c>
    </row>
    <row r="19" spans="1:11" x14ac:dyDescent="0.35">
      <c r="A19">
        <f>Raw_Data!A19</f>
        <v>18</v>
      </c>
      <c r="B19">
        <f>Raw_Data!B19</f>
        <v>39</v>
      </c>
      <c r="C19">
        <f>Raw_Data!D19</f>
        <v>45</v>
      </c>
      <c r="D19">
        <f>Raw_Data!F19</f>
        <v>2</v>
      </c>
      <c r="E19">
        <f>Raw_Data!H19</f>
        <v>1</v>
      </c>
      <c r="F19">
        <f>Raw_Data!G19</f>
        <v>1</v>
      </c>
      <c r="G19">
        <f>Raw_Data!E19</f>
        <v>34187.71</v>
      </c>
      <c r="H19">
        <f>Raw_Data!I19</f>
        <v>120447.23</v>
      </c>
      <c r="I19">
        <f>Raw_Data!J19</f>
        <v>0</v>
      </c>
      <c r="J19">
        <f t="shared" si="0"/>
        <v>0</v>
      </c>
      <c r="K19" t="str">
        <f t="shared" si="1"/>
        <v>Low Risk</v>
      </c>
    </row>
    <row r="20" spans="1:11" x14ac:dyDescent="0.35">
      <c r="A20">
        <f>Raw_Data!A20</f>
        <v>19</v>
      </c>
      <c r="B20">
        <f>Raw_Data!B20</f>
        <v>19</v>
      </c>
      <c r="C20">
        <f>Raw_Data!D20</f>
        <v>53</v>
      </c>
      <c r="D20">
        <f>Raw_Data!F20</f>
        <v>1</v>
      </c>
      <c r="E20">
        <f>Raw_Data!H20</f>
        <v>0</v>
      </c>
      <c r="F20">
        <f>Raw_Data!G20</f>
        <v>1</v>
      </c>
      <c r="G20">
        <f>Raw_Data!E20</f>
        <v>27255.279999999999</v>
      </c>
      <c r="H20">
        <f>Raw_Data!I20</f>
        <v>112936.94</v>
      </c>
      <c r="I20">
        <f>Raw_Data!J20</f>
        <v>0</v>
      </c>
      <c r="J20">
        <f t="shared" si="0"/>
        <v>2</v>
      </c>
      <c r="K20" t="str">
        <f t="shared" si="1"/>
        <v>Low Risk</v>
      </c>
    </row>
    <row r="21" spans="1:11" x14ac:dyDescent="0.35">
      <c r="A21">
        <f>Raw_Data!A21</f>
        <v>20</v>
      </c>
      <c r="B21">
        <f>Raw_Data!B21</f>
        <v>41</v>
      </c>
      <c r="C21">
        <f>Raw_Data!D21</f>
        <v>42</v>
      </c>
      <c r="D21">
        <f>Raw_Data!F21</f>
        <v>4</v>
      </c>
      <c r="E21">
        <f>Raw_Data!H21</f>
        <v>1</v>
      </c>
      <c r="F21">
        <f>Raw_Data!G21</f>
        <v>1</v>
      </c>
      <c r="G21">
        <f>Raw_Data!E21</f>
        <v>49025.84</v>
      </c>
      <c r="H21">
        <f>Raw_Data!I21</f>
        <v>95267.09</v>
      </c>
      <c r="I21">
        <f>Raw_Data!J21</f>
        <v>0</v>
      </c>
      <c r="J21">
        <f t="shared" si="0"/>
        <v>3</v>
      </c>
      <c r="K21" t="str">
        <f t="shared" si="1"/>
        <v>Medium Risk</v>
      </c>
    </row>
    <row r="22" spans="1:11" x14ac:dyDescent="0.35">
      <c r="A22">
        <f>Raw_Data!A22</f>
        <v>21</v>
      </c>
      <c r="B22">
        <f>Raw_Data!B22</f>
        <v>61</v>
      </c>
      <c r="C22">
        <f>Raw_Data!D22</f>
        <v>63</v>
      </c>
      <c r="D22">
        <f>Raw_Data!F22</f>
        <v>4</v>
      </c>
      <c r="E22">
        <f>Raw_Data!H22</f>
        <v>0</v>
      </c>
      <c r="F22">
        <f>Raw_Data!G22</f>
        <v>0</v>
      </c>
      <c r="G22">
        <f>Raw_Data!E22</f>
        <v>11370.47</v>
      </c>
      <c r="H22">
        <f>Raw_Data!I22</f>
        <v>21899.17</v>
      </c>
      <c r="I22">
        <f>Raw_Data!J22</f>
        <v>0</v>
      </c>
      <c r="J22">
        <f t="shared" si="0"/>
        <v>5</v>
      </c>
      <c r="K22" t="str">
        <f t="shared" si="1"/>
        <v>High Risk</v>
      </c>
    </row>
    <row r="23" spans="1:11" x14ac:dyDescent="0.35">
      <c r="A23">
        <f>Raw_Data!A23</f>
        <v>22</v>
      </c>
      <c r="B23">
        <f>Raw_Data!B23</f>
        <v>47</v>
      </c>
      <c r="C23">
        <f>Raw_Data!D23</f>
        <v>27</v>
      </c>
      <c r="D23">
        <f>Raw_Data!F23</f>
        <v>1</v>
      </c>
      <c r="E23">
        <f>Raw_Data!H23</f>
        <v>1</v>
      </c>
      <c r="F23">
        <f>Raw_Data!G23</f>
        <v>1</v>
      </c>
      <c r="G23">
        <f>Raw_Data!E23</f>
        <v>20198.89</v>
      </c>
      <c r="H23">
        <f>Raw_Data!I23</f>
        <v>66848.81</v>
      </c>
      <c r="I23">
        <f>Raw_Data!J23</f>
        <v>0</v>
      </c>
      <c r="J23">
        <f t="shared" si="0"/>
        <v>0</v>
      </c>
      <c r="K23" t="str">
        <f t="shared" si="1"/>
        <v>Low Risk</v>
      </c>
    </row>
    <row r="24" spans="1:11" x14ac:dyDescent="0.35">
      <c r="A24">
        <f>Raw_Data!A24</f>
        <v>23</v>
      </c>
      <c r="B24">
        <f>Raw_Data!B24</f>
        <v>55</v>
      </c>
      <c r="C24">
        <f>Raw_Data!D24</f>
        <v>38</v>
      </c>
      <c r="D24">
        <f>Raw_Data!F24</f>
        <v>4</v>
      </c>
      <c r="E24">
        <f>Raw_Data!H24</f>
        <v>0</v>
      </c>
      <c r="F24">
        <f>Raw_Data!G24</f>
        <v>1</v>
      </c>
      <c r="G24">
        <f>Raw_Data!E24</f>
        <v>27127.29</v>
      </c>
      <c r="H24">
        <f>Raw_Data!I24</f>
        <v>98629.13</v>
      </c>
      <c r="I24">
        <f>Raw_Data!J24</f>
        <v>0</v>
      </c>
      <c r="J24">
        <f t="shared" si="0"/>
        <v>4</v>
      </c>
      <c r="K24" t="str">
        <f t="shared" si="1"/>
        <v>Medium Risk</v>
      </c>
    </row>
    <row r="25" spans="1:11" x14ac:dyDescent="0.35">
      <c r="A25">
        <f>Raw_Data!A25</f>
        <v>24</v>
      </c>
      <c r="B25">
        <f>Raw_Data!B25</f>
        <v>19</v>
      </c>
      <c r="C25">
        <f>Raw_Data!D25</f>
        <v>60</v>
      </c>
      <c r="D25">
        <f>Raw_Data!F25</f>
        <v>2</v>
      </c>
      <c r="E25">
        <f>Raw_Data!H25</f>
        <v>0</v>
      </c>
      <c r="F25">
        <f>Raw_Data!G25</f>
        <v>1</v>
      </c>
      <c r="G25">
        <f>Raw_Data!E25</f>
        <v>39585</v>
      </c>
      <c r="H25">
        <f>Raw_Data!I25</f>
        <v>70368.67</v>
      </c>
      <c r="I25">
        <f>Raw_Data!J25</f>
        <v>0</v>
      </c>
      <c r="J25">
        <f t="shared" si="0"/>
        <v>2</v>
      </c>
      <c r="K25" t="str">
        <f t="shared" si="1"/>
        <v>Low Risk</v>
      </c>
    </row>
    <row r="26" spans="1:11" x14ac:dyDescent="0.35">
      <c r="A26">
        <f>Raw_Data!A26</f>
        <v>25</v>
      </c>
      <c r="B26">
        <f>Raw_Data!B26</f>
        <v>38</v>
      </c>
      <c r="C26">
        <f>Raw_Data!D26</f>
        <v>7</v>
      </c>
      <c r="D26">
        <f>Raw_Data!F26</f>
        <v>3</v>
      </c>
      <c r="E26">
        <f>Raw_Data!H26</f>
        <v>1</v>
      </c>
      <c r="F26">
        <f>Raw_Data!G26</f>
        <v>1</v>
      </c>
      <c r="G26">
        <f>Raw_Data!E26</f>
        <v>27441.93</v>
      </c>
      <c r="H26">
        <f>Raw_Data!I26</f>
        <v>132252.39000000001</v>
      </c>
      <c r="I26">
        <f>Raw_Data!J26</f>
        <v>0</v>
      </c>
      <c r="J26">
        <f t="shared" si="0"/>
        <v>2</v>
      </c>
      <c r="K26" t="str">
        <f t="shared" si="1"/>
        <v>Low Risk</v>
      </c>
    </row>
    <row r="27" spans="1:11" x14ac:dyDescent="0.35">
      <c r="A27">
        <f>Raw_Data!A27</f>
        <v>26</v>
      </c>
      <c r="B27">
        <f>Raw_Data!B27</f>
        <v>50</v>
      </c>
      <c r="C27">
        <f>Raw_Data!D27</f>
        <v>5</v>
      </c>
      <c r="D27">
        <f>Raw_Data!F27</f>
        <v>2</v>
      </c>
      <c r="E27">
        <f>Raw_Data!H27</f>
        <v>0</v>
      </c>
      <c r="F27">
        <f>Raw_Data!G27</f>
        <v>0</v>
      </c>
      <c r="G27">
        <f>Raw_Data!E27</f>
        <v>30645.01</v>
      </c>
      <c r="H27">
        <f>Raw_Data!I27</f>
        <v>60144.3</v>
      </c>
      <c r="I27">
        <f>Raw_Data!J27</f>
        <v>0</v>
      </c>
      <c r="J27">
        <f t="shared" si="0"/>
        <v>4</v>
      </c>
      <c r="K27" t="str">
        <f t="shared" si="1"/>
        <v>Medium Risk</v>
      </c>
    </row>
    <row r="28" spans="1:11" x14ac:dyDescent="0.35">
      <c r="A28">
        <f>Raw_Data!A28</f>
        <v>27</v>
      </c>
      <c r="B28">
        <f>Raw_Data!B28</f>
        <v>29</v>
      </c>
      <c r="C28">
        <f>Raw_Data!D28</f>
        <v>45</v>
      </c>
      <c r="D28">
        <f>Raw_Data!F28</f>
        <v>1</v>
      </c>
      <c r="E28">
        <f>Raw_Data!H28</f>
        <v>1</v>
      </c>
      <c r="F28">
        <f>Raw_Data!G28</f>
        <v>1</v>
      </c>
      <c r="G28">
        <f>Raw_Data!E28</f>
        <v>11307.35</v>
      </c>
      <c r="H28">
        <f>Raw_Data!I28</f>
        <v>58159.519999999997</v>
      </c>
      <c r="I28">
        <f>Raw_Data!J28</f>
        <v>0</v>
      </c>
      <c r="J28">
        <f t="shared" si="0"/>
        <v>0</v>
      </c>
      <c r="K28" t="str">
        <f t="shared" si="1"/>
        <v>Low Risk</v>
      </c>
    </row>
    <row r="29" spans="1:11" x14ac:dyDescent="0.35">
      <c r="A29">
        <f>Raw_Data!A29</f>
        <v>28</v>
      </c>
      <c r="B29">
        <f>Raw_Data!B29</f>
        <v>39</v>
      </c>
      <c r="C29">
        <f>Raw_Data!D29</f>
        <v>58</v>
      </c>
      <c r="D29">
        <f>Raw_Data!F29</f>
        <v>1</v>
      </c>
      <c r="E29">
        <f>Raw_Data!H29</f>
        <v>1</v>
      </c>
      <c r="F29">
        <f>Raw_Data!G29</f>
        <v>0</v>
      </c>
      <c r="G29">
        <f>Raw_Data!E29</f>
        <v>42345.94</v>
      </c>
      <c r="H29">
        <f>Raw_Data!I29</f>
        <v>54579.7</v>
      </c>
      <c r="I29">
        <f>Raw_Data!J29</f>
        <v>0</v>
      </c>
      <c r="J29">
        <f t="shared" si="0"/>
        <v>1</v>
      </c>
      <c r="K29" t="str">
        <f t="shared" si="1"/>
        <v>Low Risk</v>
      </c>
    </row>
    <row r="30" spans="1:11" x14ac:dyDescent="0.35">
      <c r="A30">
        <f>Raw_Data!A30</f>
        <v>29</v>
      </c>
      <c r="B30">
        <f>Raw_Data!B30</f>
        <v>61</v>
      </c>
      <c r="C30">
        <f>Raw_Data!D30</f>
        <v>31</v>
      </c>
      <c r="D30">
        <f>Raw_Data!F30</f>
        <v>4</v>
      </c>
      <c r="E30">
        <f>Raw_Data!H30</f>
        <v>0</v>
      </c>
      <c r="F30">
        <f>Raw_Data!G30</f>
        <v>1</v>
      </c>
      <c r="G30">
        <f>Raw_Data!E30</f>
        <v>21431.53</v>
      </c>
      <c r="H30">
        <f>Raw_Data!I30</f>
        <v>63261.51</v>
      </c>
      <c r="I30">
        <f>Raw_Data!J30</f>
        <v>0</v>
      </c>
      <c r="J30">
        <f t="shared" si="0"/>
        <v>5</v>
      </c>
      <c r="K30" t="str">
        <f t="shared" si="1"/>
        <v>High Risk</v>
      </c>
    </row>
    <row r="31" spans="1:11" x14ac:dyDescent="0.35">
      <c r="A31">
        <f>Raw_Data!A31</f>
        <v>30</v>
      </c>
      <c r="B31">
        <f>Raw_Data!B31</f>
        <v>42</v>
      </c>
      <c r="C31">
        <f>Raw_Data!D31</f>
        <v>23</v>
      </c>
      <c r="D31">
        <f>Raw_Data!F31</f>
        <v>2</v>
      </c>
      <c r="E31">
        <f>Raw_Data!H31</f>
        <v>1</v>
      </c>
      <c r="F31">
        <f>Raw_Data!G31</f>
        <v>0</v>
      </c>
      <c r="G31">
        <f>Raw_Data!E31</f>
        <v>7047.98</v>
      </c>
      <c r="H31">
        <f>Raw_Data!I31</f>
        <v>92462.65</v>
      </c>
      <c r="I31">
        <f>Raw_Data!J31</f>
        <v>0</v>
      </c>
      <c r="J31">
        <f t="shared" si="0"/>
        <v>0</v>
      </c>
      <c r="K31" t="str">
        <f t="shared" si="1"/>
        <v>Low Risk</v>
      </c>
    </row>
    <row r="32" spans="1:11" x14ac:dyDescent="0.35">
      <c r="A32">
        <f>Raw_Data!A32</f>
        <v>31</v>
      </c>
      <c r="B32">
        <f>Raw_Data!B32</f>
        <v>66</v>
      </c>
      <c r="C32">
        <f>Raw_Data!D32</f>
        <v>42</v>
      </c>
      <c r="D32">
        <f>Raw_Data!F32</f>
        <v>2</v>
      </c>
      <c r="E32">
        <f>Raw_Data!H32</f>
        <v>0</v>
      </c>
      <c r="F32">
        <f>Raw_Data!G32</f>
        <v>0</v>
      </c>
      <c r="G32">
        <f>Raw_Data!E32</f>
        <v>33209.4</v>
      </c>
      <c r="H32">
        <f>Raw_Data!I32</f>
        <v>111911.99</v>
      </c>
      <c r="I32">
        <f>Raw_Data!J32</f>
        <v>0</v>
      </c>
      <c r="J32">
        <f t="shared" si="0"/>
        <v>3</v>
      </c>
      <c r="K32" t="str">
        <f t="shared" si="1"/>
        <v>Medium Risk</v>
      </c>
    </row>
    <row r="33" spans="1:11" x14ac:dyDescent="0.35">
      <c r="A33">
        <f>Raw_Data!A33</f>
        <v>32</v>
      </c>
      <c r="B33">
        <f>Raw_Data!B33</f>
        <v>44</v>
      </c>
      <c r="C33">
        <f>Raw_Data!D33</f>
        <v>10</v>
      </c>
      <c r="D33">
        <f>Raw_Data!F33</f>
        <v>1</v>
      </c>
      <c r="E33">
        <f>Raw_Data!H33</f>
        <v>0</v>
      </c>
      <c r="F33">
        <f>Raw_Data!G33</f>
        <v>1</v>
      </c>
      <c r="G33">
        <f>Raw_Data!E33</f>
        <v>10804.52</v>
      </c>
      <c r="H33">
        <f>Raw_Data!I33</f>
        <v>106133.83</v>
      </c>
      <c r="I33">
        <f>Raw_Data!J33</f>
        <v>0</v>
      </c>
      <c r="J33">
        <f t="shared" si="0"/>
        <v>4</v>
      </c>
      <c r="K33" t="str">
        <f t="shared" si="1"/>
        <v>Medium Risk</v>
      </c>
    </row>
    <row r="34" spans="1:11" x14ac:dyDescent="0.35">
      <c r="A34">
        <f>Raw_Data!A34</f>
        <v>33</v>
      </c>
      <c r="B34">
        <f>Raw_Data!B34</f>
        <v>59</v>
      </c>
      <c r="C34">
        <f>Raw_Data!D34</f>
        <v>32</v>
      </c>
      <c r="D34">
        <f>Raw_Data!F34</f>
        <v>2</v>
      </c>
      <c r="E34">
        <f>Raw_Data!H34</f>
        <v>0</v>
      </c>
      <c r="F34">
        <f>Raw_Data!G34</f>
        <v>1</v>
      </c>
      <c r="G34">
        <f>Raw_Data!E34</f>
        <v>4878.13</v>
      </c>
      <c r="H34">
        <f>Raw_Data!I34</f>
        <v>125003.32</v>
      </c>
      <c r="I34">
        <f>Raw_Data!J34</f>
        <v>0</v>
      </c>
      <c r="J34">
        <f t="shared" si="0"/>
        <v>3</v>
      </c>
      <c r="K34" t="str">
        <f t="shared" si="1"/>
        <v>Medium Risk</v>
      </c>
    </row>
    <row r="35" spans="1:11" x14ac:dyDescent="0.35">
      <c r="A35">
        <f>Raw_Data!A35</f>
        <v>34</v>
      </c>
      <c r="B35">
        <f>Raw_Data!B35</f>
        <v>45</v>
      </c>
      <c r="C35">
        <f>Raw_Data!D35</f>
        <v>53</v>
      </c>
      <c r="D35">
        <f>Raw_Data!F35</f>
        <v>1</v>
      </c>
      <c r="E35">
        <f>Raw_Data!H35</f>
        <v>0</v>
      </c>
      <c r="F35">
        <f>Raw_Data!G35</f>
        <v>0</v>
      </c>
      <c r="G35">
        <f>Raw_Data!E35</f>
        <v>43099.35</v>
      </c>
      <c r="H35">
        <f>Raw_Data!I35</f>
        <v>135168.82</v>
      </c>
      <c r="I35">
        <f>Raw_Data!J35</f>
        <v>0</v>
      </c>
      <c r="J35">
        <f t="shared" si="0"/>
        <v>3</v>
      </c>
      <c r="K35" t="str">
        <f t="shared" si="1"/>
        <v>Medium Risk</v>
      </c>
    </row>
    <row r="36" spans="1:11" x14ac:dyDescent="0.35">
      <c r="A36">
        <f>Raw_Data!A36</f>
        <v>35</v>
      </c>
      <c r="B36">
        <f>Raw_Data!B36</f>
        <v>33</v>
      </c>
      <c r="C36">
        <f>Raw_Data!D36</f>
        <v>30</v>
      </c>
      <c r="D36">
        <f>Raw_Data!F36</f>
        <v>2</v>
      </c>
      <c r="E36">
        <f>Raw_Data!H36</f>
        <v>0</v>
      </c>
      <c r="F36">
        <f>Raw_Data!G36</f>
        <v>1</v>
      </c>
      <c r="G36">
        <f>Raw_Data!E36</f>
        <v>23008.11</v>
      </c>
      <c r="H36">
        <f>Raw_Data!I36</f>
        <v>126090.28</v>
      </c>
      <c r="I36">
        <f>Raw_Data!J36</f>
        <v>0</v>
      </c>
      <c r="J36">
        <f t="shared" si="0"/>
        <v>2</v>
      </c>
      <c r="K36" t="str">
        <f t="shared" si="1"/>
        <v>Low Risk</v>
      </c>
    </row>
    <row r="37" spans="1:11" x14ac:dyDescent="0.35">
      <c r="A37">
        <f>Raw_Data!A37</f>
        <v>36</v>
      </c>
      <c r="B37">
        <f>Raw_Data!B37</f>
        <v>32</v>
      </c>
      <c r="C37">
        <f>Raw_Data!D37</f>
        <v>39</v>
      </c>
      <c r="D37">
        <f>Raw_Data!F37</f>
        <v>2</v>
      </c>
      <c r="E37">
        <f>Raw_Data!H37</f>
        <v>0</v>
      </c>
      <c r="F37">
        <f>Raw_Data!G37</f>
        <v>1</v>
      </c>
      <c r="G37">
        <f>Raw_Data!E37</f>
        <v>37464.19</v>
      </c>
      <c r="H37">
        <f>Raw_Data!I37</f>
        <v>22462.9</v>
      </c>
      <c r="I37">
        <f>Raw_Data!J37</f>
        <v>0</v>
      </c>
      <c r="J37">
        <f t="shared" si="0"/>
        <v>2</v>
      </c>
      <c r="K37" t="str">
        <f t="shared" si="1"/>
        <v>Low Risk</v>
      </c>
    </row>
    <row r="38" spans="1:11" x14ac:dyDescent="0.35">
      <c r="A38">
        <f>Raw_Data!A38</f>
        <v>37</v>
      </c>
      <c r="B38">
        <f>Raw_Data!B38</f>
        <v>64</v>
      </c>
      <c r="C38">
        <f>Raw_Data!D38</f>
        <v>31</v>
      </c>
      <c r="D38">
        <f>Raw_Data!F38</f>
        <v>2</v>
      </c>
      <c r="E38">
        <f>Raw_Data!H38</f>
        <v>0</v>
      </c>
      <c r="F38">
        <f>Raw_Data!G38</f>
        <v>1</v>
      </c>
      <c r="G38">
        <f>Raw_Data!E38</f>
        <v>14529.38</v>
      </c>
      <c r="H38">
        <f>Raw_Data!I38</f>
        <v>115669.33</v>
      </c>
      <c r="I38">
        <f>Raw_Data!J38</f>
        <v>0</v>
      </c>
      <c r="J38">
        <f t="shared" si="0"/>
        <v>3</v>
      </c>
      <c r="K38" t="str">
        <f t="shared" si="1"/>
        <v>Medium Risk</v>
      </c>
    </row>
    <row r="39" spans="1:11" x14ac:dyDescent="0.35">
      <c r="A39">
        <f>Raw_Data!A39</f>
        <v>38</v>
      </c>
      <c r="B39">
        <f>Raw_Data!B39</f>
        <v>68</v>
      </c>
      <c r="C39">
        <f>Raw_Data!D39</f>
        <v>2</v>
      </c>
      <c r="D39">
        <f>Raw_Data!F39</f>
        <v>1</v>
      </c>
      <c r="E39">
        <f>Raw_Data!H39</f>
        <v>0</v>
      </c>
      <c r="F39">
        <f>Raw_Data!G39</f>
        <v>0</v>
      </c>
      <c r="G39">
        <f>Raw_Data!E39</f>
        <v>39348.51</v>
      </c>
      <c r="H39">
        <f>Raw_Data!I39</f>
        <v>47091.94</v>
      </c>
      <c r="I39">
        <f>Raw_Data!J39</f>
        <v>0</v>
      </c>
      <c r="J39">
        <f t="shared" si="0"/>
        <v>5</v>
      </c>
      <c r="K39" t="str">
        <f t="shared" si="1"/>
        <v>High Risk</v>
      </c>
    </row>
    <row r="40" spans="1:11" x14ac:dyDescent="0.35">
      <c r="A40">
        <f>Raw_Data!A40</f>
        <v>39</v>
      </c>
      <c r="B40">
        <f>Raw_Data!B40</f>
        <v>61</v>
      </c>
      <c r="C40">
        <f>Raw_Data!D40</f>
        <v>12</v>
      </c>
      <c r="D40">
        <f>Raw_Data!F40</f>
        <v>4</v>
      </c>
      <c r="E40">
        <f>Raw_Data!H40</f>
        <v>1</v>
      </c>
      <c r="F40">
        <f>Raw_Data!G40</f>
        <v>1</v>
      </c>
      <c r="G40">
        <f>Raw_Data!E40</f>
        <v>5596.8</v>
      </c>
      <c r="H40">
        <f>Raw_Data!I40</f>
        <v>37280.65</v>
      </c>
      <c r="I40">
        <f>Raw_Data!J40</f>
        <v>0</v>
      </c>
      <c r="J40">
        <f t="shared" si="0"/>
        <v>5</v>
      </c>
      <c r="K40" t="str">
        <f t="shared" si="1"/>
        <v>High Risk</v>
      </c>
    </row>
    <row r="41" spans="1:11" x14ac:dyDescent="0.35">
      <c r="A41">
        <f>Raw_Data!A41</f>
        <v>40</v>
      </c>
      <c r="B41">
        <f>Raw_Data!B41</f>
        <v>69</v>
      </c>
      <c r="C41">
        <f>Raw_Data!D41</f>
        <v>39</v>
      </c>
      <c r="D41">
        <f>Raw_Data!F41</f>
        <v>2</v>
      </c>
      <c r="E41">
        <f>Raw_Data!H41</f>
        <v>1</v>
      </c>
      <c r="F41">
        <f>Raw_Data!G41</f>
        <v>1</v>
      </c>
      <c r="G41">
        <f>Raw_Data!E41</f>
        <v>17798.669999999998</v>
      </c>
      <c r="H41">
        <f>Raw_Data!I41</f>
        <v>103003.54</v>
      </c>
      <c r="I41">
        <f>Raw_Data!J41</f>
        <v>0</v>
      </c>
      <c r="J41">
        <f t="shared" si="0"/>
        <v>1</v>
      </c>
      <c r="K41" t="str">
        <f t="shared" si="1"/>
        <v>Low Risk</v>
      </c>
    </row>
    <row r="42" spans="1:11" x14ac:dyDescent="0.35">
      <c r="A42">
        <f>Raw_Data!A42</f>
        <v>41</v>
      </c>
      <c r="B42">
        <f>Raw_Data!B42</f>
        <v>20</v>
      </c>
      <c r="C42">
        <f>Raw_Data!D42</f>
        <v>66</v>
      </c>
      <c r="D42">
        <f>Raw_Data!F42</f>
        <v>1</v>
      </c>
      <c r="E42">
        <f>Raw_Data!H42</f>
        <v>0</v>
      </c>
      <c r="F42">
        <f>Raw_Data!G42</f>
        <v>1</v>
      </c>
      <c r="G42">
        <f>Raw_Data!E42</f>
        <v>48903.09</v>
      </c>
      <c r="H42">
        <f>Raw_Data!I42</f>
        <v>61566.62</v>
      </c>
      <c r="I42">
        <f>Raw_Data!J42</f>
        <v>0</v>
      </c>
      <c r="J42">
        <f t="shared" si="0"/>
        <v>3</v>
      </c>
      <c r="K42" t="str">
        <f t="shared" si="1"/>
        <v>Medium Risk</v>
      </c>
    </row>
    <row r="43" spans="1:11" x14ac:dyDescent="0.35">
      <c r="A43">
        <f>Raw_Data!A43</f>
        <v>42</v>
      </c>
      <c r="B43">
        <f>Raw_Data!B43</f>
        <v>54</v>
      </c>
      <c r="C43">
        <f>Raw_Data!D43</f>
        <v>13</v>
      </c>
      <c r="D43">
        <f>Raw_Data!F43</f>
        <v>1</v>
      </c>
      <c r="E43">
        <f>Raw_Data!H43</f>
        <v>1</v>
      </c>
      <c r="F43">
        <f>Raw_Data!G43</f>
        <v>0</v>
      </c>
      <c r="G43">
        <f>Raw_Data!E43</f>
        <v>39699.49</v>
      </c>
      <c r="H43">
        <f>Raw_Data!I43</f>
        <v>27425.23</v>
      </c>
      <c r="I43">
        <f>Raw_Data!J43</f>
        <v>0</v>
      </c>
      <c r="J43">
        <f t="shared" si="0"/>
        <v>0</v>
      </c>
      <c r="K43" t="str">
        <f t="shared" si="1"/>
        <v>Low Risk</v>
      </c>
    </row>
    <row r="44" spans="1:11" x14ac:dyDescent="0.35">
      <c r="A44">
        <f>Raw_Data!A44</f>
        <v>43</v>
      </c>
      <c r="B44">
        <f>Raw_Data!B44</f>
        <v>68</v>
      </c>
      <c r="C44">
        <f>Raw_Data!D44</f>
        <v>46</v>
      </c>
      <c r="D44">
        <f>Raw_Data!F44</f>
        <v>2</v>
      </c>
      <c r="E44">
        <f>Raw_Data!H44</f>
        <v>1</v>
      </c>
      <c r="F44">
        <f>Raw_Data!G44</f>
        <v>1</v>
      </c>
      <c r="G44">
        <f>Raw_Data!E44</f>
        <v>24862.799999999999</v>
      </c>
      <c r="H44">
        <f>Raw_Data!I44</f>
        <v>37891.870000000003</v>
      </c>
      <c r="I44">
        <f>Raw_Data!J44</f>
        <v>0</v>
      </c>
      <c r="J44">
        <f t="shared" si="0"/>
        <v>1</v>
      </c>
      <c r="K44" t="str">
        <f t="shared" si="1"/>
        <v>Low Risk</v>
      </c>
    </row>
    <row r="45" spans="1:11" x14ac:dyDescent="0.35">
      <c r="A45">
        <f>Raw_Data!A45</f>
        <v>44</v>
      </c>
      <c r="B45">
        <f>Raw_Data!B45</f>
        <v>24</v>
      </c>
      <c r="C45">
        <f>Raw_Data!D45</f>
        <v>27</v>
      </c>
      <c r="D45">
        <f>Raw_Data!F45</f>
        <v>2</v>
      </c>
      <c r="E45">
        <f>Raw_Data!H45</f>
        <v>1</v>
      </c>
      <c r="F45">
        <f>Raw_Data!G45</f>
        <v>0</v>
      </c>
      <c r="G45">
        <f>Raw_Data!E45</f>
        <v>16988.87</v>
      </c>
      <c r="H45">
        <f>Raw_Data!I45</f>
        <v>20120.82</v>
      </c>
      <c r="I45">
        <f>Raw_Data!J45</f>
        <v>0</v>
      </c>
      <c r="J45">
        <f t="shared" si="0"/>
        <v>0</v>
      </c>
      <c r="K45" t="str">
        <f t="shared" si="1"/>
        <v>Low Risk</v>
      </c>
    </row>
    <row r="46" spans="1:11" x14ac:dyDescent="0.35">
      <c r="A46">
        <f>Raw_Data!A46</f>
        <v>45</v>
      </c>
      <c r="B46">
        <f>Raw_Data!B46</f>
        <v>38</v>
      </c>
      <c r="C46">
        <f>Raw_Data!D46</f>
        <v>17</v>
      </c>
      <c r="D46">
        <f>Raw_Data!F46</f>
        <v>4</v>
      </c>
      <c r="E46">
        <f>Raw_Data!H46</f>
        <v>1</v>
      </c>
      <c r="F46">
        <f>Raw_Data!G46</f>
        <v>1</v>
      </c>
      <c r="G46">
        <f>Raw_Data!E46</f>
        <v>43606.79</v>
      </c>
      <c r="H46">
        <f>Raw_Data!I46</f>
        <v>137419.07</v>
      </c>
      <c r="I46">
        <f>Raw_Data!J46</f>
        <v>0</v>
      </c>
      <c r="J46">
        <f t="shared" si="0"/>
        <v>3</v>
      </c>
      <c r="K46" t="str">
        <f t="shared" si="1"/>
        <v>Medium Risk</v>
      </c>
    </row>
    <row r="47" spans="1:11" x14ac:dyDescent="0.35">
      <c r="A47">
        <f>Raw_Data!A47</f>
        <v>46</v>
      </c>
      <c r="B47">
        <f>Raw_Data!B47</f>
        <v>26</v>
      </c>
      <c r="C47">
        <f>Raw_Data!D47</f>
        <v>60</v>
      </c>
      <c r="D47">
        <f>Raw_Data!F47</f>
        <v>1</v>
      </c>
      <c r="E47">
        <f>Raw_Data!H47</f>
        <v>1</v>
      </c>
      <c r="F47">
        <f>Raw_Data!G47</f>
        <v>0</v>
      </c>
      <c r="G47">
        <f>Raw_Data!E47</f>
        <v>27242.39</v>
      </c>
      <c r="H47">
        <f>Raw_Data!I47</f>
        <v>23200.34</v>
      </c>
      <c r="I47">
        <f>Raw_Data!J47</f>
        <v>0</v>
      </c>
      <c r="J47">
        <f t="shared" si="0"/>
        <v>0</v>
      </c>
      <c r="K47" t="str">
        <f t="shared" si="1"/>
        <v>Low Risk</v>
      </c>
    </row>
    <row r="48" spans="1:11" x14ac:dyDescent="0.35">
      <c r="A48">
        <f>Raw_Data!A48</f>
        <v>47</v>
      </c>
      <c r="B48">
        <f>Raw_Data!B48</f>
        <v>56</v>
      </c>
      <c r="C48">
        <f>Raw_Data!D48</f>
        <v>64</v>
      </c>
      <c r="D48">
        <f>Raw_Data!F48</f>
        <v>1</v>
      </c>
      <c r="E48">
        <f>Raw_Data!H48</f>
        <v>1</v>
      </c>
      <c r="F48">
        <f>Raw_Data!G48</f>
        <v>1</v>
      </c>
      <c r="G48">
        <f>Raw_Data!E48</f>
        <v>37921.25</v>
      </c>
      <c r="H48">
        <f>Raw_Data!I48</f>
        <v>47229.25</v>
      </c>
      <c r="I48">
        <f>Raw_Data!J48</f>
        <v>0</v>
      </c>
      <c r="J48">
        <f t="shared" si="0"/>
        <v>1</v>
      </c>
      <c r="K48" t="str">
        <f t="shared" si="1"/>
        <v>Low Risk</v>
      </c>
    </row>
    <row r="49" spans="1:11" x14ac:dyDescent="0.35">
      <c r="A49">
        <f>Raw_Data!A49</f>
        <v>48</v>
      </c>
      <c r="B49">
        <f>Raw_Data!B49</f>
        <v>35</v>
      </c>
      <c r="C49">
        <f>Raw_Data!D49</f>
        <v>35</v>
      </c>
      <c r="D49">
        <f>Raw_Data!F49</f>
        <v>3</v>
      </c>
      <c r="E49">
        <f>Raw_Data!H49</f>
        <v>0</v>
      </c>
      <c r="F49">
        <f>Raw_Data!G49</f>
        <v>1</v>
      </c>
      <c r="G49">
        <f>Raw_Data!E49</f>
        <v>37705.379999999997</v>
      </c>
      <c r="H49">
        <f>Raw_Data!I49</f>
        <v>74114.16</v>
      </c>
      <c r="I49">
        <f>Raw_Data!J49</f>
        <v>0</v>
      </c>
      <c r="J49">
        <f t="shared" si="0"/>
        <v>2</v>
      </c>
      <c r="K49" t="str">
        <f t="shared" si="1"/>
        <v>Low Risk</v>
      </c>
    </row>
    <row r="50" spans="1:11" x14ac:dyDescent="0.35">
      <c r="A50">
        <f>Raw_Data!A50</f>
        <v>49</v>
      </c>
      <c r="B50">
        <f>Raw_Data!B50</f>
        <v>21</v>
      </c>
      <c r="C50">
        <f>Raw_Data!D50</f>
        <v>70</v>
      </c>
      <c r="D50">
        <f>Raw_Data!F50</f>
        <v>1</v>
      </c>
      <c r="E50">
        <f>Raw_Data!H50</f>
        <v>1</v>
      </c>
      <c r="F50">
        <f>Raw_Data!G50</f>
        <v>0</v>
      </c>
      <c r="G50">
        <f>Raw_Data!E50</f>
        <v>897.28</v>
      </c>
      <c r="H50">
        <f>Raw_Data!I50</f>
        <v>66354.27</v>
      </c>
      <c r="I50">
        <f>Raw_Data!J50</f>
        <v>0</v>
      </c>
      <c r="J50">
        <f t="shared" si="0"/>
        <v>0</v>
      </c>
      <c r="K50" t="str">
        <f t="shared" si="1"/>
        <v>Low Risk</v>
      </c>
    </row>
    <row r="51" spans="1:11" x14ac:dyDescent="0.35">
      <c r="A51">
        <f>Raw_Data!A51</f>
        <v>50</v>
      </c>
      <c r="B51">
        <f>Raw_Data!B51</f>
        <v>42</v>
      </c>
      <c r="C51">
        <f>Raw_Data!D51</f>
        <v>30</v>
      </c>
      <c r="D51">
        <f>Raw_Data!F51</f>
        <v>4</v>
      </c>
      <c r="E51">
        <f>Raw_Data!H51</f>
        <v>1</v>
      </c>
      <c r="F51">
        <f>Raw_Data!G51</f>
        <v>0</v>
      </c>
      <c r="G51">
        <f>Raw_Data!E51</f>
        <v>6312.69</v>
      </c>
      <c r="H51">
        <f>Raw_Data!I51</f>
        <v>138524.35999999999</v>
      </c>
      <c r="I51">
        <f>Raw_Data!J51</f>
        <v>0</v>
      </c>
      <c r="J51">
        <f t="shared" si="0"/>
        <v>2</v>
      </c>
      <c r="K51" t="str">
        <f t="shared" si="1"/>
        <v>Low Risk</v>
      </c>
    </row>
    <row r="52" spans="1:11" x14ac:dyDescent="0.35">
      <c r="A52">
        <f>Raw_Data!A52</f>
        <v>51</v>
      </c>
      <c r="B52">
        <f>Raw_Data!B52</f>
        <v>31</v>
      </c>
      <c r="C52">
        <f>Raw_Data!D52</f>
        <v>71</v>
      </c>
      <c r="D52">
        <f>Raw_Data!F52</f>
        <v>3</v>
      </c>
      <c r="E52">
        <f>Raw_Data!H52</f>
        <v>1</v>
      </c>
      <c r="F52">
        <f>Raw_Data!G52</f>
        <v>0</v>
      </c>
      <c r="G52">
        <f>Raw_Data!E52</f>
        <v>32981.47</v>
      </c>
      <c r="H52">
        <f>Raw_Data!I52</f>
        <v>25237.56</v>
      </c>
      <c r="I52">
        <f>Raw_Data!J52</f>
        <v>0</v>
      </c>
      <c r="J52">
        <f t="shared" si="0"/>
        <v>0</v>
      </c>
      <c r="K52" t="str">
        <f t="shared" si="1"/>
        <v>Low Risk</v>
      </c>
    </row>
    <row r="53" spans="1:11" x14ac:dyDescent="0.35">
      <c r="A53">
        <f>Raw_Data!A53</f>
        <v>52</v>
      </c>
      <c r="B53">
        <f>Raw_Data!B53</f>
        <v>67</v>
      </c>
      <c r="C53">
        <f>Raw_Data!D53</f>
        <v>63</v>
      </c>
      <c r="D53">
        <f>Raw_Data!F53</f>
        <v>3</v>
      </c>
      <c r="E53">
        <f>Raw_Data!H53</f>
        <v>1</v>
      </c>
      <c r="F53">
        <f>Raw_Data!G53</f>
        <v>1</v>
      </c>
      <c r="G53">
        <f>Raw_Data!E53</f>
        <v>8080.99</v>
      </c>
      <c r="H53">
        <f>Raw_Data!I53</f>
        <v>86587.91</v>
      </c>
      <c r="I53">
        <f>Raw_Data!J53</f>
        <v>0</v>
      </c>
      <c r="J53">
        <f t="shared" si="0"/>
        <v>1</v>
      </c>
      <c r="K53" t="str">
        <f t="shared" si="1"/>
        <v>Low Risk</v>
      </c>
    </row>
    <row r="54" spans="1:11" x14ac:dyDescent="0.35">
      <c r="A54">
        <f>Raw_Data!A54</f>
        <v>53</v>
      </c>
      <c r="B54">
        <f>Raw_Data!B54</f>
        <v>26</v>
      </c>
      <c r="C54">
        <f>Raw_Data!D54</f>
        <v>28</v>
      </c>
      <c r="D54">
        <f>Raw_Data!F54</f>
        <v>3</v>
      </c>
      <c r="E54">
        <f>Raw_Data!H54</f>
        <v>0</v>
      </c>
      <c r="F54">
        <f>Raw_Data!G54</f>
        <v>1</v>
      </c>
      <c r="G54">
        <f>Raw_Data!E54</f>
        <v>12774.67</v>
      </c>
      <c r="H54">
        <f>Raw_Data!I54</f>
        <v>108462.33</v>
      </c>
      <c r="I54">
        <f>Raw_Data!J54</f>
        <v>0</v>
      </c>
      <c r="J54">
        <f t="shared" si="0"/>
        <v>2</v>
      </c>
      <c r="K54" t="str">
        <f t="shared" si="1"/>
        <v>Low Risk</v>
      </c>
    </row>
    <row r="55" spans="1:11" x14ac:dyDescent="0.35">
      <c r="A55">
        <f>Raw_Data!A55</f>
        <v>54</v>
      </c>
      <c r="B55">
        <f>Raw_Data!B55</f>
        <v>43</v>
      </c>
      <c r="C55">
        <f>Raw_Data!D55</f>
        <v>60</v>
      </c>
      <c r="D55">
        <f>Raw_Data!F55</f>
        <v>2</v>
      </c>
      <c r="E55">
        <f>Raw_Data!H55</f>
        <v>0</v>
      </c>
      <c r="F55">
        <f>Raw_Data!G55</f>
        <v>1</v>
      </c>
      <c r="G55">
        <f>Raw_Data!E55</f>
        <v>47331.9</v>
      </c>
      <c r="H55">
        <f>Raw_Data!I55</f>
        <v>141120.74</v>
      </c>
      <c r="I55">
        <f>Raw_Data!J55</f>
        <v>0</v>
      </c>
      <c r="J55">
        <f t="shared" si="0"/>
        <v>3</v>
      </c>
      <c r="K55" t="str">
        <f t="shared" si="1"/>
        <v>Medium Risk</v>
      </c>
    </row>
    <row r="56" spans="1:11" x14ac:dyDescent="0.35">
      <c r="A56">
        <f>Raw_Data!A56</f>
        <v>55</v>
      </c>
      <c r="B56">
        <f>Raw_Data!B56</f>
        <v>19</v>
      </c>
      <c r="C56">
        <f>Raw_Data!D56</f>
        <v>37</v>
      </c>
      <c r="D56">
        <f>Raw_Data!F56</f>
        <v>2</v>
      </c>
      <c r="E56">
        <f>Raw_Data!H56</f>
        <v>0</v>
      </c>
      <c r="F56">
        <f>Raw_Data!G56</f>
        <v>1</v>
      </c>
      <c r="G56">
        <f>Raw_Data!E56</f>
        <v>28009.11</v>
      </c>
      <c r="H56">
        <f>Raw_Data!I56</f>
        <v>100648.26</v>
      </c>
      <c r="I56">
        <f>Raw_Data!J56</f>
        <v>0</v>
      </c>
      <c r="J56">
        <f t="shared" si="0"/>
        <v>2</v>
      </c>
      <c r="K56" t="str">
        <f t="shared" si="1"/>
        <v>Low Risk</v>
      </c>
    </row>
    <row r="57" spans="1:11" x14ac:dyDescent="0.35">
      <c r="A57">
        <f>Raw_Data!A57</f>
        <v>56</v>
      </c>
      <c r="B57">
        <f>Raw_Data!B57</f>
        <v>37</v>
      </c>
      <c r="C57">
        <f>Raw_Data!D57</f>
        <v>22</v>
      </c>
      <c r="D57">
        <f>Raw_Data!F57</f>
        <v>1</v>
      </c>
      <c r="E57">
        <f>Raw_Data!H57</f>
        <v>0</v>
      </c>
      <c r="F57">
        <f>Raw_Data!G57</f>
        <v>0</v>
      </c>
      <c r="G57">
        <f>Raw_Data!E57</f>
        <v>37536.480000000003</v>
      </c>
      <c r="H57">
        <f>Raw_Data!I57</f>
        <v>124488.18</v>
      </c>
      <c r="I57">
        <f>Raw_Data!J57</f>
        <v>0</v>
      </c>
      <c r="J57">
        <f t="shared" si="0"/>
        <v>2</v>
      </c>
      <c r="K57" t="str">
        <f t="shared" si="1"/>
        <v>Low Risk</v>
      </c>
    </row>
    <row r="58" spans="1:11" x14ac:dyDescent="0.35">
      <c r="A58">
        <f>Raw_Data!A58</f>
        <v>57</v>
      </c>
      <c r="B58">
        <f>Raw_Data!B58</f>
        <v>45</v>
      </c>
      <c r="C58">
        <f>Raw_Data!D58</f>
        <v>68</v>
      </c>
      <c r="D58">
        <f>Raw_Data!F58</f>
        <v>3</v>
      </c>
      <c r="E58">
        <f>Raw_Data!H58</f>
        <v>1</v>
      </c>
      <c r="F58">
        <f>Raw_Data!G58</f>
        <v>1</v>
      </c>
      <c r="G58">
        <f>Raw_Data!E58</f>
        <v>27899.040000000001</v>
      </c>
      <c r="H58">
        <f>Raw_Data!I58</f>
        <v>30884.240000000002</v>
      </c>
      <c r="I58">
        <f>Raw_Data!J58</f>
        <v>0</v>
      </c>
      <c r="J58">
        <f t="shared" si="0"/>
        <v>0</v>
      </c>
      <c r="K58" t="str">
        <f t="shared" si="1"/>
        <v>Low Risk</v>
      </c>
    </row>
    <row r="59" spans="1:11" x14ac:dyDescent="0.35">
      <c r="A59">
        <f>Raw_Data!A59</f>
        <v>58</v>
      </c>
      <c r="B59">
        <f>Raw_Data!B59</f>
        <v>64</v>
      </c>
      <c r="C59">
        <f>Raw_Data!D59</f>
        <v>20</v>
      </c>
      <c r="D59">
        <f>Raw_Data!F59</f>
        <v>4</v>
      </c>
      <c r="E59">
        <f>Raw_Data!H59</f>
        <v>0</v>
      </c>
      <c r="F59">
        <f>Raw_Data!G59</f>
        <v>1</v>
      </c>
      <c r="G59">
        <f>Raw_Data!E59</f>
        <v>27625.68</v>
      </c>
      <c r="H59">
        <f>Raw_Data!I59</f>
        <v>70172.14</v>
      </c>
      <c r="I59">
        <f>Raw_Data!J59</f>
        <v>0</v>
      </c>
      <c r="J59">
        <f t="shared" si="0"/>
        <v>5</v>
      </c>
      <c r="K59" t="str">
        <f t="shared" si="1"/>
        <v>High Risk</v>
      </c>
    </row>
    <row r="60" spans="1:11" x14ac:dyDescent="0.35">
      <c r="A60">
        <f>Raw_Data!A60</f>
        <v>59</v>
      </c>
      <c r="B60">
        <f>Raw_Data!B60</f>
        <v>24</v>
      </c>
      <c r="C60">
        <f>Raw_Data!D60</f>
        <v>68</v>
      </c>
      <c r="D60">
        <f>Raw_Data!F60</f>
        <v>2</v>
      </c>
      <c r="E60">
        <f>Raw_Data!H60</f>
        <v>0</v>
      </c>
      <c r="F60">
        <f>Raw_Data!G60</f>
        <v>1</v>
      </c>
      <c r="G60">
        <f>Raw_Data!E60</f>
        <v>4707.6000000000004</v>
      </c>
      <c r="H60">
        <f>Raw_Data!I60</f>
        <v>68613.13</v>
      </c>
      <c r="I60">
        <f>Raw_Data!J60</f>
        <v>0</v>
      </c>
      <c r="J60">
        <f t="shared" si="0"/>
        <v>2</v>
      </c>
      <c r="K60" t="str">
        <f t="shared" si="1"/>
        <v>Low Risk</v>
      </c>
    </row>
    <row r="61" spans="1:11" x14ac:dyDescent="0.35">
      <c r="A61">
        <f>Raw_Data!A61</f>
        <v>60</v>
      </c>
      <c r="B61">
        <f>Raw_Data!B61</f>
        <v>61</v>
      </c>
      <c r="C61">
        <f>Raw_Data!D61</f>
        <v>64</v>
      </c>
      <c r="D61">
        <f>Raw_Data!F61</f>
        <v>4</v>
      </c>
      <c r="E61">
        <f>Raw_Data!H61</f>
        <v>0</v>
      </c>
      <c r="F61">
        <f>Raw_Data!G61</f>
        <v>1</v>
      </c>
      <c r="G61">
        <f>Raw_Data!E61</f>
        <v>17183.16</v>
      </c>
      <c r="H61">
        <f>Raw_Data!I61</f>
        <v>135217.47</v>
      </c>
      <c r="I61">
        <f>Raw_Data!J61</f>
        <v>0</v>
      </c>
      <c r="J61">
        <f t="shared" si="0"/>
        <v>5</v>
      </c>
      <c r="K61" t="str">
        <f t="shared" si="1"/>
        <v>High Risk</v>
      </c>
    </row>
    <row r="62" spans="1:11" x14ac:dyDescent="0.35">
      <c r="A62">
        <f>Raw_Data!A62</f>
        <v>61</v>
      </c>
      <c r="B62">
        <f>Raw_Data!B62</f>
        <v>25</v>
      </c>
      <c r="C62">
        <f>Raw_Data!D62</f>
        <v>17</v>
      </c>
      <c r="D62">
        <f>Raw_Data!F62</f>
        <v>4</v>
      </c>
      <c r="E62">
        <f>Raw_Data!H62</f>
        <v>0</v>
      </c>
      <c r="F62">
        <f>Raw_Data!G62</f>
        <v>1</v>
      </c>
      <c r="G62">
        <f>Raw_Data!E62</f>
        <v>14121.54</v>
      </c>
      <c r="H62">
        <f>Raw_Data!I62</f>
        <v>39678.25</v>
      </c>
      <c r="I62">
        <f>Raw_Data!J62</f>
        <v>0</v>
      </c>
      <c r="J62">
        <f t="shared" si="0"/>
        <v>4</v>
      </c>
      <c r="K62" t="str">
        <f t="shared" si="1"/>
        <v>Medium Risk</v>
      </c>
    </row>
    <row r="63" spans="1:11" x14ac:dyDescent="0.35">
      <c r="A63">
        <f>Raw_Data!A63</f>
        <v>62</v>
      </c>
      <c r="B63">
        <f>Raw_Data!B63</f>
        <v>64</v>
      </c>
      <c r="C63">
        <f>Raw_Data!D63</f>
        <v>12</v>
      </c>
      <c r="D63">
        <f>Raw_Data!F63</f>
        <v>2</v>
      </c>
      <c r="E63">
        <f>Raw_Data!H63</f>
        <v>1</v>
      </c>
      <c r="F63">
        <f>Raw_Data!G63</f>
        <v>1</v>
      </c>
      <c r="G63">
        <f>Raw_Data!E63</f>
        <v>19536.419999999998</v>
      </c>
      <c r="H63">
        <f>Raw_Data!I63</f>
        <v>39745.199999999997</v>
      </c>
      <c r="I63">
        <f>Raw_Data!J63</f>
        <v>0</v>
      </c>
      <c r="J63">
        <f t="shared" si="0"/>
        <v>3</v>
      </c>
      <c r="K63" t="str">
        <f t="shared" si="1"/>
        <v>Medium Risk</v>
      </c>
    </row>
    <row r="64" spans="1:11" x14ac:dyDescent="0.35">
      <c r="A64">
        <f>Raw_Data!A64</f>
        <v>63</v>
      </c>
      <c r="B64">
        <f>Raw_Data!B64</f>
        <v>52</v>
      </c>
      <c r="C64">
        <f>Raw_Data!D64</f>
        <v>22</v>
      </c>
      <c r="D64">
        <f>Raw_Data!F64</f>
        <v>2</v>
      </c>
      <c r="E64">
        <f>Raw_Data!H64</f>
        <v>0</v>
      </c>
      <c r="F64">
        <f>Raw_Data!G64</f>
        <v>1</v>
      </c>
      <c r="G64">
        <f>Raw_Data!E64</f>
        <v>39917.21</v>
      </c>
      <c r="H64">
        <f>Raw_Data!I64</f>
        <v>62712.56</v>
      </c>
      <c r="I64">
        <f>Raw_Data!J64</f>
        <v>0</v>
      </c>
      <c r="J64">
        <f t="shared" si="0"/>
        <v>2</v>
      </c>
      <c r="K64" t="str">
        <f t="shared" si="1"/>
        <v>Low Risk</v>
      </c>
    </row>
    <row r="65" spans="1:11" x14ac:dyDescent="0.35">
      <c r="A65">
        <f>Raw_Data!A65</f>
        <v>64</v>
      </c>
      <c r="B65">
        <f>Raw_Data!B65</f>
        <v>31</v>
      </c>
      <c r="C65">
        <f>Raw_Data!D65</f>
        <v>17</v>
      </c>
      <c r="D65">
        <f>Raw_Data!F65</f>
        <v>2</v>
      </c>
      <c r="E65">
        <f>Raw_Data!H65</f>
        <v>1</v>
      </c>
      <c r="F65">
        <f>Raw_Data!G65</f>
        <v>0</v>
      </c>
      <c r="G65">
        <f>Raw_Data!E65</f>
        <v>18596.63</v>
      </c>
      <c r="H65">
        <f>Raw_Data!I65</f>
        <v>27080.59</v>
      </c>
      <c r="I65">
        <f>Raw_Data!J65</f>
        <v>0</v>
      </c>
      <c r="J65">
        <f t="shared" si="0"/>
        <v>0</v>
      </c>
      <c r="K65" t="str">
        <f t="shared" si="1"/>
        <v>Low Risk</v>
      </c>
    </row>
    <row r="66" spans="1:11" x14ac:dyDescent="0.35">
      <c r="A66">
        <f>Raw_Data!A66</f>
        <v>65</v>
      </c>
      <c r="B66">
        <f>Raw_Data!B66</f>
        <v>34</v>
      </c>
      <c r="C66">
        <f>Raw_Data!D66</f>
        <v>10</v>
      </c>
      <c r="D66">
        <f>Raw_Data!F66</f>
        <v>2</v>
      </c>
      <c r="E66">
        <f>Raw_Data!H66</f>
        <v>0</v>
      </c>
      <c r="F66">
        <f>Raw_Data!G66</f>
        <v>1</v>
      </c>
      <c r="G66">
        <f>Raw_Data!E66</f>
        <v>22584.84</v>
      </c>
      <c r="H66">
        <f>Raw_Data!I66</f>
        <v>43719.55</v>
      </c>
      <c r="I66">
        <f>Raw_Data!J66</f>
        <v>0</v>
      </c>
      <c r="J66">
        <f t="shared" si="0"/>
        <v>4</v>
      </c>
      <c r="K66" t="str">
        <f t="shared" si="1"/>
        <v>Medium Risk</v>
      </c>
    </row>
    <row r="67" spans="1:11" x14ac:dyDescent="0.35">
      <c r="A67">
        <f>Raw_Data!A67</f>
        <v>66</v>
      </c>
      <c r="B67">
        <f>Raw_Data!B67</f>
        <v>53</v>
      </c>
      <c r="C67">
        <f>Raw_Data!D67</f>
        <v>65</v>
      </c>
      <c r="D67">
        <f>Raw_Data!F67</f>
        <v>3</v>
      </c>
      <c r="E67">
        <f>Raw_Data!H67</f>
        <v>1</v>
      </c>
      <c r="F67">
        <f>Raw_Data!G67</f>
        <v>1</v>
      </c>
      <c r="G67">
        <f>Raw_Data!E67</f>
        <v>19869.07</v>
      </c>
      <c r="H67">
        <f>Raw_Data!I67</f>
        <v>145477.25</v>
      </c>
      <c r="I67">
        <f>Raw_Data!J67</f>
        <v>0</v>
      </c>
      <c r="J67">
        <f t="shared" ref="J67:J130" si="3">IF(E67=0,2,0)+IF(D67=4,2,0)+IF(C67&lt;=12,2,0)+IF(B67&gt;=56,1,0)+IF(G67&gt;=40000,1,0)</f>
        <v>0</v>
      </c>
      <c r="K67" t="str">
        <f t="shared" ref="K67:K130" si="4">IF(J67&gt;=5,"High Risk",IF(J67&gt;=3,"Medium Risk","Low Risk"))</f>
        <v>Low Risk</v>
      </c>
    </row>
    <row r="68" spans="1:11" x14ac:dyDescent="0.35">
      <c r="A68">
        <f>Raw_Data!A68</f>
        <v>67</v>
      </c>
      <c r="B68">
        <f>Raw_Data!B68</f>
        <v>67</v>
      </c>
      <c r="C68">
        <f>Raw_Data!D68</f>
        <v>22</v>
      </c>
      <c r="D68">
        <f>Raw_Data!F68</f>
        <v>3</v>
      </c>
      <c r="E68">
        <f>Raw_Data!H68</f>
        <v>1</v>
      </c>
      <c r="F68">
        <f>Raw_Data!G68</f>
        <v>1</v>
      </c>
      <c r="G68">
        <f>Raw_Data!E68</f>
        <v>4670.3999999999996</v>
      </c>
      <c r="H68">
        <f>Raw_Data!I68</f>
        <v>75663.91</v>
      </c>
      <c r="I68">
        <f>Raw_Data!J68</f>
        <v>0</v>
      </c>
      <c r="J68">
        <f t="shared" si="3"/>
        <v>1</v>
      </c>
      <c r="K68" t="str">
        <f t="shared" si="4"/>
        <v>Low Risk</v>
      </c>
    </row>
    <row r="69" spans="1:11" x14ac:dyDescent="0.35">
      <c r="A69">
        <f>Raw_Data!A69</f>
        <v>68</v>
      </c>
      <c r="B69">
        <f>Raw_Data!B69</f>
        <v>57</v>
      </c>
      <c r="C69">
        <f>Raw_Data!D69</f>
        <v>50</v>
      </c>
      <c r="D69">
        <f>Raw_Data!F69</f>
        <v>3</v>
      </c>
      <c r="E69">
        <f>Raw_Data!H69</f>
        <v>0</v>
      </c>
      <c r="F69">
        <f>Raw_Data!G69</f>
        <v>1</v>
      </c>
      <c r="G69">
        <f>Raw_Data!E69</f>
        <v>22053.61</v>
      </c>
      <c r="H69">
        <f>Raw_Data!I69</f>
        <v>102162.5</v>
      </c>
      <c r="I69">
        <f>Raw_Data!J69</f>
        <v>0</v>
      </c>
      <c r="J69">
        <f t="shared" si="3"/>
        <v>3</v>
      </c>
      <c r="K69" t="str">
        <f t="shared" si="4"/>
        <v>Medium Risk</v>
      </c>
    </row>
    <row r="70" spans="1:11" x14ac:dyDescent="0.35">
      <c r="A70">
        <f>Raw_Data!A70</f>
        <v>69</v>
      </c>
      <c r="B70">
        <f>Raw_Data!B70</f>
        <v>21</v>
      </c>
      <c r="C70">
        <f>Raw_Data!D70</f>
        <v>14</v>
      </c>
      <c r="D70">
        <f>Raw_Data!F70</f>
        <v>3</v>
      </c>
      <c r="E70">
        <f>Raw_Data!H70</f>
        <v>0</v>
      </c>
      <c r="F70">
        <f>Raw_Data!G70</f>
        <v>0</v>
      </c>
      <c r="G70">
        <f>Raw_Data!E70</f>
        <v>9780.4599999999991</v>
      </c>
      <c r="H70">
        <f>Raw_Data!I70</f>
        <v>114394.46</v>
      </c>
      <c r="I70">
        <f>Raw_Data!J70</f>
        <v>0</v>
      </c>
      <c r="J70">
        <f t="shared" si="3"/>
        <v>2</v>
      </c>
      <c r="K70" t="str">
        <f t="shared" si="4"/>
        <v>Low Risk</v>
      </c>
    </row>
    <row r="71" spans="1:11" x14ac:dyDescent="0.35">
      <c r="A71">
        <f>Raw_Data!A71</f>
        <v>70</v>
      </c>
      <c r="B71">
        <f>Raw_Data!B71</f>
        <v>19</v>
      </c>
      <c r="C71">
        <f>Raw_Data!D71</f>
        <v>64</v>
      </c>
      <c r="D71">
        <f>Raw_Data!F71</f>
        <v>1</v>
      </c>
      <c r="E71">
        <f>Raw_Data!H71</f>
        <v>0</v>
      </c>
      <c r="F71">
        <f>Raw_Data!G71</f>
        <v>0</v>
      </c>
      <c r="G71">
        <f>Raw_Data!E71</f>
        <v>9336.16</v>
      </c>
      <c r="H71">
        <f>Raw_Data!I71</f>
        <v>67704.98</v>
      </c>
      <c r="I71">
        <f>Raw_Data!J71</f>
        <v>0</v>
      </c>
      <c r="J71">
        <f t="shared" si="3"/>
        <v>2</v>
      </c>
      <c r="K71" t="str">
        <f t="shared" si="4"/>
        <v>Low Risk</v>
      </c>
    </row>
    <row r="72" spans="1:11" x14ac:dyDescent="0.35">
      <c r="A72">
        <f>Raw_Data!A72</f>
        <v>71</v>
      </c>
      <c r="B72">
        <f>Raw_Data!B72</f>
        <v>23</v>
      </c>
      <c r="C72">
        <f>Raw_Data!D72</f>
        <v>47</v>
      </c>
      <c r="D72">
        <f>Raw_Data!F72</f>
        <v>3</v>
      </c>
      <c r="E72">
        <f>Raw_Data!H72</f>
        <v>0</v>
      </c>
      <c r="F72">
        <f>Raw_Data!G72</f>
        <v>0</v>
      </c>
      <c r="G72">
        <f>Raw_Data!E72</f>
        <v>4701.8100000000004</v>
      </c>
      <c r="H72">
        <f>Raw_Data!I72</f>
        <v>39139.519999999997</v>
      </c>
      <c r="I72">
        <f>Raw_Data!J72</f>
        <v>0</v>
      </c>
      <c r="J72">
        <f t="shared" si="3"/>
        <v>2</v>
      </c>
      <c r="K72" t="str">
        <f t="shared" si="4"/>
        <v>Low Risk</v>
      </c>
    </row>
    <row r="73" spans="1:11" x14ac:dyDescent="0.35">
      <c r="A73">
        <f>Raw_Data!A73</f>
        <v>72</v>
      </c>
      <c r="B73">
        <f>Raw_Data!B73</f>
        <v>59</v>
      </c>
      <c r="C73">
        <f>Raw_Data!D73</f>
        <v>29</v>
      </c>
      <c r="D73">
        <f>Raw_Data!F73</f>
        <v>2</v>
      </c>
      <c r="E73">
        <f>Raw_Data!H73</f>
        <v>1</v>
      </c>
      <c r="F73">
        <f>Raw_Data!G73</f>
        <v>0</v>
      </c>
      <c r="G73">
        <f>Raw_Data!E73</f>
        <v>17833.55</v>
      </c>
      <c r="H73">
        <f>Raw_Data!I73</f>
        <v>46855.53</v>
      </c>
      <c r="I73">
        <f>Raw_Data!J73</f>
        <v>0</v>
      </c>
      <c r="J73">
        <f t="shared" si="3"/>
        <v>1</v>
      </c>
      <c r="K73" t="str">
        <f t="shared" si="4"/>
        <v>Low Risk</v>
      </c>
    </row>
    <row r="74" spans="1:11" x14ac:dyDescent="0.35">
      <c r="A74">
        <f>Raw_Data!A74</f>
        <v>73</v>
      </c>
      <c r="B74">
        <f>Raw_Data!B74</f>
        <v>21</v>
      </c>
      <c r="C74">
        <f>Raw_Data!D74</f>
        <v>36</v>
      </c>
      <c r="D74">
        <f>Raw_Data!F74</f>
        <v>4</v>
      </c>
      <c r="E74">
        <f>Raw_Data!H74</f>
        <v>1</v>
      </c>
      <c r="F74">
        <f>Raw_Data!G74</f>
        <v>0</v>
      </c>
      <c r="G74">
        <f>Raw_Data!E74</f>
        <v>37874.089999999997</v>
      </c>
      <c r="H74">
        <f>Raw_Data!I74</f>
        <v>60724.639999999999</v>
      </c>
      <c r="I74">
        <f>Raw_Data!J74</f>
        <v>0</v>
      </c>
      <c r="J74">
        <f t="shared" si="3"/>
        <v>2</v>
      </c>
      <c r="K74" t="str">
        <f t="shared" si="4"/>
        <v>Low Risk</v>
      </c>
    </row>
    <row r="75" spans="1:11" x14ac:dyDescent="0.35">
      <c r="A75">
        <f>Raw_Data!A75</f>
        <v>74</v>
      </c>
      <c r="B75">
        <f>Raw_Data!B75</f>
        <v>46</v>
      </c>
      <c r="C75">
        <f>Raw_Data!D75</f>
        <v>52</v>
      </c>
      <c r="D75">
        <f>Raw_Data!F75</f>
        <v>3</v>
      </c>
      <c r="E75">
        <f>Raw_Data!H75</f>
        <v>0</v>
      </c>
      <c r="F75">
        <f>Raw_Data!G75</f>
        <v>0</v>
      </c>
      <c r="G75">
        <f>Raw_Data!E75</f>
        <v>13822.08</v>
      </c>
      <c r="H75">
        <f>Raw_Data!I75</f>
        <v>102688.89</v>
      </c>
      <c r="I75">
        <f>Raw_Data!J75</f>
        <v>0</v>
      </c>
      <c r="J75">
        <f t="shared" si="3"/>
        <v>2</v>
      </c>
      <c r="K75" t="str">
        <f t="shared" si="4"/>
        <v>Low Risk</v>
      </c>
    </row>
    <row r="76" spans="1:11" x14ac:dyDescent="0.35">
      <c r="A76">
        <f>Raw_Data!A76</f>
        <v>75</v>
      </c>
      <c r="B76">
        <f>Raw_Data!B76</f>
        <v>35</v>
      </c>
      <c r="C76">
        <f>Raw_Data!D76</f>
        <v>7</v>
      </c>
      <c r="D76">
        <f>Raw_Data!F76</f>
        <v>1</v>
      </c>
      <c r="E76">
        <f>Raw_Data!H76</f>
        <v>0</v>
      </c>
      <c r="F76">
        <f>Raw_Data!G76</f>
        <v>1</v>
      </c>
      <c r="G76">
        <f>Raw_Data!E76</f>
        <v>15617.46</v>
      </c>
      <c r="H76">
        <f>Raw_Data!I76</f>
        <v>71776.47</v>
      </c>
      <c r="I76">
        <f>Raw_Data!J76</f>
        <v>0</v>
      </c>
      <c r="J76">
        <f t="shared" si="3"/>
        <v>4</v>
      </c>
      <c r="K76" t="str">
        <f t="shared" si="4"/>
        <v>Medium Risk</v>
      </c>
    </row>
    <row r="77" spans="1:11" x14ac:dyDescent="0.35">
      <c r="A77">
        <f>Raw_Data!A77</f>
        <v>76</v>
      </c>
      <c r="B77">
        <f>Raw_Data!B77</f>
        <v>43</v>
      </c>
      <c r="C77">
        <f>Raw_Data!D77</f>
        <v>29</v>
      </c>
      <c r="D77">
        <f>Raw_Data!F77</f>
        <v>2</v>
      </c>
      <c r="E77">
        <f>Raw_Data!H77</f>
        <v>1</v>
      </c>
      <c r="F77">
        <f>Raw_Data!G77</f>
        <v>0</v>
      </c>
      <c r="G77">
        <f>Raw_Data!E77</f>
        <v>32133.73</v>
      </c>
      <c r="H77">
        <f>Raw_Data!I77</f>
        <v>20885.91</v>
      </c>
      <c r="I77">
        <f>Raw_Data!J77</f>
        <v>0</v>
      </c>
      <c r="J77">
        <f t="shared" si="3"/>
        <v>0</v>
      </c>
      <c r="K77" t="str">
        <f t="shared" si="4"/>
        <v>Low Risk</v>
      </c>
    </row>
    <row r="78" spans="1:11" x14ac:dyDescent="0.35">
      <c r="A78">
        <f>Raw_Data!A78</f>
        <v>77</v>
      </c>
      <c r="B78">
        <f>Raw_Data!B78</f>
        <v>61</v>
      </c>
      <c r="C78">
        <f>Raw_Data!D78</f>
        <v>11</v>
      </c>
      <c r="D78">
        <f>Raw_Data!F78</f>
        <v>4</v>
      </c>
      <c r="E78">
        <f>Raw_Data!H78</f>
        <v>0</v>
      </c>
      <c r="F78">
        <f>Raw_Data!G78</f>
        <v>0</v>
      </c>
      <c r="G78">
        <f>Raw_Data!E78</f>
        <v>9792.0400000000009</v>
      </c>
      <c r="H78">
        <f>Raw_Data!I78</f>
        <v>88042.93</v>
      </c>
      <c r="I78">
        <f>Raw_Data!J78</f>
        <v>1</v>
      </c>
      <c r="J78">
        <f t="shared" si="3"/>
        <v>7</v>
      </c>
      <c r="K78" t="str">
        <f t="shared" si="4"/>
        <v>High Risk</v>
      </c>
    </row>
    <row r="79" spans="1:11" x14ac:dyDescent="0.35">
      <c r="A79">
        <f>Raw_Data!A79</f>
        <v>78</v>
      </c>
      <c r="B79">
        <f>Raw_Data!B79</f>
        <v>51</v>
      </c>
      <c r="C79">
        <f>Raw_Data!D79</f>
        <v>33</v>
      </c>
      <c r="D79">
        <f>Raw_Data!F79</f>
        <v>4</v>
      </c>
      <c r="E79">
        <f>Raw_Data!H79</f>
        <v>1</v>
      </c>
      <c r="F79">
        <f>Raw_Data!G79</f>
        <v>1</v>
      </c>
      <c r="G79">
        <f>Raw_Data!E79</f>
        <v>44847.9</v>
      </c>
      <c r="H79">
        <f>Raw_Data!I79</f>
        <v>139796.74</v>
      </c>
      <c r="I79">
        <f>Raw_Data!J79</f>
        <v>0</v>
      </c>
      <c r="J79">
        <f t="shared" si="3"/>
        <v>3</v>
      </c>
      <c r="K79" t="str">
        <f t="shared" si="4"/>
        <v>Medium Risk</v>
      </c>
    </row>
    <row r="80" spans="1:11" x14ac:dyDescent="0.35">
      <c r="A80">
        <f>Raw_Data!A80</f>
        <v>79</v>
      </c>
      <c r="B80">
        <f>Raw_Data!B80</f>
        <v>27</v>
      </c>
      <c r="C80">
        <f>Raw_Data!D80</f>
        <v>6</v>
      </c>
      <c r="D80">
        <f>Raw_Data!F80</f>
        <v>3</v>
      </c>
      <c r="E80">
        <f>Raw_Data!H80</f>
        <v>0</v>
      </c>
      <c r="F80">
        <f>Raw_Data!G80</f>
        <v>0</v>
      </c>
      <c r="G80">
        <f>Raw_Data!E80</f>
        <v>26009.53</v>
      </c>
      <c r="H80">
        <f>Raw_Data!I80</f>
        <v>125570.09</v>
      </c>
      <c r="I80">
        <f>Raw_Data!J80</f>
        <v>0</v>
      </c>
      <c r="J80">
        <f t="shared" si="3"/>
        <v>4</v>
      </c>
      <c r="K80" t="str">
        <f t="shared" si="4"/>
        <v>Medium Risk</v>
      </c>
    </row>
    <row r="81" spans="1:11" x14ac:dyDescent="0.35">
      <c r="A81">
        <f>Raw_Data!A81</f>
        <v>80</v>
      </c>
      <c r="B81">
        <f>Raw_Data!B81</f>
        <v>53</v>
      </c>
      <c r="C81">
        <f>Raw_Data!D81</f>
        <v>32</v>
      </c>
      <c r="D81">
        <f>Raw_Data!F81</f>
        <v>4</v>
      </c>
      <c r="E81">
        <f>Raw_Data!H81</f>
        <v>1</v>
      </c>
      <c r="F81">
        <f>Raw_Data!G81</f>
        <v>1</v>
      </c>
      <c r="G81">
        <f>Raw_Data!E81</f>
        <v>22380.15</v>
      </c>
      <c r="H81">
        <f>Raw_Data!I81</f>
        <v>127277.48</v>
      </c>
      <c r="I81">
        <f>Raw_Data!J81</f>
        <v>0</v>
      </c>
      <c r="J81">
        <f t="shared" si="3"/>
        <v>2</v>
      </c>
      <c r="K81" t="str">
        <f t="shared" si="4"/>
        <v>Low Risk</v>
      </c>
    </row>
    <row r="82" spans="1:11" x14ac:dyDescent="0.35">
      <c r="A82">
        <f>Raw_Data!A82</f>
        <v>81</v>
      </c>
      <c r="B82">
        <f>Raw_Data!B82</f>
        <v>31</v>
      </c>
      <c r="C82">
        <f>Raw_Data!D82</f>
        <v>51</v>
      </c>
      <c r="D82">
        <f>Raw_Data!F82</f>
        <v>3</v>
      </c>
      <c r="E82">
        <f>Raw_Data!H82</f>
        <v>1</v>
      </c>
      <c r="F82">
        <f>Raw_Data!G82</f>
        <v>1</v>
      </c>
      <c r="G82">
        <f>Raw_Data!E82</f>
        <v>27891.01</v>
      </c>
      <c r="H82">
        <f>Raw_Data!I82</f>
        <v>123357.54</v>
      </c>
      <c r="I82">
        <f>Raw_Data!J82</f>
        <v>0</v>
      </c>
      <c r="J82">
        <f t="shared" si="3"/>
        <v>0</v>
      </c>
      <c r="K82" t="str">
        <f t="shared" si="4"/>
        <v>Low Risk</v>
      </c>
    </row>
    <row r="83" spans="1:11" x14ac:dyDescent="0.35">
      <c r="A83">
        <f>Raw_Data!A83</f>
        <v>82</v>
      </c>
      <c r="B83">
        <f>Raw_Data!B83</f>
        <v>48</v>
      </c>
      <c r="C83">
        <f>Raw_Data!D83</f>
        <v>58</v>
      </c>
      <c r="D83">
        <f>Raw_Data!F83</f>
        <v>3</v>
      </c>
      <c r="E83">
        <f>Raw_Data!H83</f>
        <v>1</v>
      </c>
      <c r="F83">
        <f>Raw_Data!G83</f>
        <v>0</v>
      </c>
      <c r="G83">
        <f>Raw_Data!E83</f>
        <v>8301.7199999999993</v>
      </c>
      <c r="H83">
        <f>Raw_Data!I83</f>
        <v>62085.01</v>
      </c>
      <c r="I83">
        <f>Raw_Data!J83</f>
        <v>0</v>
      </c>
      <c r="J83">
        <f t="shared" si="3"/>
        <v>0</v>
      </c>
      <c r="K83" t="str">
        <f t="shared" si="4"/>
        <v>Low Risk</v>
      </c>
    </row>
    <row r="84" spans="1:11" x14ac:dyDescent="0.35">
      <c r="A84">
        <f>Raw_Data!A84</f>
        <v>83</v>
      </c>
      <c r="B84">
        <f>Raw_Data!B84</f>
        <v>65</v>
      </c>
      <c r="C84">
        <f>Raw_Data!D84</f>
        <v>26</v>
      </c>
      <c r="D84">
        <f>Raw_Data!F84</f>
        <v>2</v>
      </c>
      <c r="E84">
        <f>Raw_Data!H84</f>
        <v>1</v>
      </c>
      <c r="F84">
        <f>Raw_Data!G84</f>
        <v>1</v>
      </c>
      <c r="G84">
        <f>Raw_Data!E84</f>
        <v>30673.66</v>
      </c>
      <c r="H84">
        <f>Raw_Data!I84</f>
        <v>119475.2</v>
      </c>
      <c r="I84">
        <f>Raw_Data!J84</f>
        <v>0</v>
      </c>
      <c r="J84">
        <f t="shared" si="3"/>
        <v>1</v>
      </c>
      <c r="K84" t="str">
        <f t="shared" si="4"/>
        <v>Low Risk</v>
      </c>
    </row>
    <row r="85" spans="1:11" x14ac:dyDescent="0.35">
      <c r="A85">
        <f>Raw_Data!A85</f>
        <v>84</v>
      </c>
      <c r="B85">
        <f>Raw_Data!B85</f>
        <v>32</v>
      </c>
      <c r="C85">
        <f>Raw_Data!D85</f>
        <v>46</v>
      </c>
      <c r="D85">
        <f>Raw_Data!F85</f>
        <v>2</v>
      </c>
      <c r="E85">
        <f>Raw_Data!H85</f>
        <v>1</v>
      </c>
      <c r="F85">
        <f>Raw_Data!G85</f>
        <v>0</v>
      </c>
      <c r="G85">
        <f>Raw_Data!E85</f>
        <v>18155.04</v>
      </c>
      <c r="H85">
        <f>Raw_Data!I85</f>
        <v>38610.980000000003</v>
      </c>
      <c r="I85">
        <f>Raw_Data!J85</f>
        <v>0</v>
      </c>
      <c r="J85">
        <f t="shared" si="3"/>
        <v>0</v>
      </c>
      <c r="K85" t="str">
        <f t="shared" si="4"/>
        <v>Low Risk</v>
      </c>
    </row>
    <row r="86" spans="1:11" x14ac:dyDescent="0.35">
      <c r="A86">
        <f>Raw_Data!A86</f>
        <v>85</v>
      </c>
      <c r="B86">
        <f>Raw_Data!B86</f>
        <v>25</v>
      </c>
      <c r="C86">
        <f>Raw_Data!D86</f>
        <v>29</v>
      </c>
      <c r="D86">
        <f>Raw_Data!F86</f>
        <v>1</v>
      </c>
      <c r="E86">
        <f>Raw_Data!H86</f>
        <v>0</v>
      </c>
      <c r="F86">
        <f>Raw_Data!G86</f>
        <v>0</v>
      </c>
      <c r="G86">
        <f>Raw_Data!E86</f>
        <v>44859.32</v>
      </c>
      <c r="H86">
        <f>Raw_Data!I86</f>
        <v>105503.1</v>
      </c>
      <c r="I86">
        <f>Raw_Data!J86</f>
        <v>0</v>
      </c>
      <c r="J86">
        <f t="shared" si="3"/>
        <v>3</v>
      </c>
      <c r="K86" t="str">
        <f t="shared" si="4"/>
        <v>Medium Risk</v>
      </c>
    </row>
    <row r="87" spans="1:11" x14ac:dyDescent="0.35">
      <c r="A87">
        <f>Raw_Data!A87</f>
        <v>86</v>
      </c>
      <c r="B87">
        <f>Raw_Data!B87</f>
        <v>31</v>
      </c>
      <c r="C87">
        <f>Raw_Data!D87</f>
        <v>4</v>
      </c>
      <c r="D87">
        <f>Raw_Data!F87</f>
        <v>2</v>
      </c>
      <c r="E87">
        <f>Raw_Data!H87</f>
        <v>1</v>
      </c>
      <c r="F87">
        <f>Raw_Data!G87</f>
        <v>1</v>
      </c>
      <c r="G87">
        <f>Raw_Data!E87</f>
        <v>8442.7099999999991</v>
      </c>
      <c r="H87">
        <f>Raw_Data!I87</f>
        <v>103403.91</v>
      </c>
      <c r="I87">
        <f>Raw_Data!J87</f>
        <v>0</v>
      </c>
      <c r="J87">
        <f t="shared" si="3"/>
        <v>2</v>
      </c>
      <c r="K87" t="str">
        <f t="shared" si="4"/>
        <v>Low Risk</v>
      </c>
    </row>
    <row r="88" spans="1:11" x14ac:dyDescent="0.35">
      <c r="A88">
        <f>Raw_Data!A88</f>
        <v>87</v>
      </c>
      <c r="B88">
        <f>Raw_Data!B88</f>
        <v>40</v>
      </c>
      <c r="C88">
        <f>Raw_Data!D88</f>
        <v>13</v>
      </c>
      <c r="D88">
        <f>Raw_Data!F88</f>
        <v>2</v>
      </c>
      <c r="E88">
        <f>Raw_Data!H88</f>
        <v>0</v>
      </c>
      <c r="F88">
        <f>Raw_Data!G88</f>
        <v>1</v>
      </c>
      <c r="G88">
        <f>Raw_Data!E88</f>
        <v>25352.560000000001</v>
      </c>
      <c r="H88">
        <f>Raw_Data!I88</f>
        <v>23324.07</v>
      </c>
      <c r="I88">
        <f>Raw_Data!J88</f>
        <v>0</v>
      </c>
      <c r="J88">
        <f t="shared" si="3"/>
        <v>2</v>
      </c>
      <c r="K88" t="str">
        <f t="shared" si="4"/>
        <v>Low Risk</v>
      </c>
    </row>
    <row r="89" spans="1:11" x14ac:dyDescent="0.35">
      <c r="A89">
        <f>Raw_Data!A89</f>
        <v>88</v>
      </c>
      <c r="B89">
        <f>Raw_Data!B89</f>
        <v>57</v>
      </c>
      <c r="C89">
        <f>Raw_Data!D89</f>
        <v>39</v>
      </c>
      <c r="D89">
        <f>Raw_Data!F89</f>
        <v>3</v>
      </c>
      <c r="E89">
        <f>Raw_Data!H89</f>
        <v>1</v>
      </c>
      <c r="F89">
        <f>Raw_Data!G89</f>
        <v>0</v>
      </c>
      <c r="G89">
        <f>Raw_Data!E89</f>
        <v>29905.63</v>
      </c>
      <c r="H89">
        <f>Raw_Data!I89</f>
        <v>122436.12</v>
      </c>
      <c r="I89">
        <f>Raw_Data!J89</f>
        <v>0</v>
      </c>
      <c r="J89">
        <f t="shared" si="3"/>
        <v>1</v>
      </c>
      <c r="K89" t="str">
        <f t="shared" si="4"/>
        <v>Low Risk</v>
      </c>
    </row>
    <row r="90" spans="1:11" x14ac:dyDescent="0.35">
      <c r="A90">
        <f>Raw_Data!A90</f>
        <v>89</v>
      </c>
      <c r="B90">
        <f>Raw_Data!B90</f>
        <v>38</v>
      </c>
      <c r="C90">
        <f>Raw_Data!D90</f>
        <v>15</v>
      </c>
      <c r="D90">
        <f>Raw_Data!F90</f>
        <v>2</v>
      </c>
      <c r="E90">
        <f>Raw_Data!H90</f>
        <v>1</v>
      </c>
      <c r="F90">
        <f>Raw_Data!G90</f>
        <v>1</v>
      </c>
      <c r="G90">
        <f>Raw_Data!E90</f>
        <v>1669.18</v>
      </c>
      <c r="H90">
        <f>Raw_Data!I90</f>
        <v>137422.25</v>
      </c>
      <c r="I90">
        <f>Raw_Data!J90</f>
        <v>0</v>
      </c>
      <c r="J90">
        <f t="shared" si="3"/>
        <v>0</v>
      </c>
      <c r="K90" t="str">
        <f t="shared" si="4"/>
        <v>Low Risk</v>
      </c>
    </row>
    <row r="91" spans="1:11" x14ac:dyDescent="0.35">
      <c r="A91">
        <f>Raw_Data!A91</f>
        <v>90</v>
      </c>
      <c r="B91">
        <f>Raw_Data!B91</f>
        <v>33</v>
      </c>
      <c r="C91">
        <f>Raw_Data!D91</f>
        <v>29</v>
      </c>
      <c r="D91">
        <f>Raw_Data!F91</f>
        <v>3</v>
      </c>
      <c r="E91">
        <f>Raw_Data!H91</f>
        <v>0</v>
      </c>
      <c r="F91">
        <f>Raw_Data!G91</f>
        <v>1</v>
      </c>
      <c r="G91">
        <f>Raw_Data!E91</f>
        <v>18184.66</v>
      </c>
      <c r="H91">
        <f>Raw_Data!I91</f>
        <v>54763.99</v>
      </c>
      <c r="I91">
        <f>Raw_Data!J91</f>
        <v>0</v>
      </c>
      <c r="J91">
        <f t="shared" si="3"/>
        <v>2</v>
      </c>
      <c r="K91" t="str">
        <f t="shared" si="4"/>
        <v>Low Risk</v>
      </c>
    </row>
    <row r="92" spans="1:11" x14ac:dyDescent="0.35">
      <c r="A92">
        <f>Raw_Data!A92</f>
        <v>91</v>
      </c>
      <c r="B92">
        <f>Raw_Data!B92</f>
        <v>62</v>
      </c>
      <c r="C92">
        <f>Raw_Data!D92</f>
        <v>29</v>
      </c>
      <c r="D92">
        <f>Raw_Data!F92</f>
        <v>3</v>
      </c>
      <c r="E92">
        <f>Raw_Data!H92</f>
        <v>0</v>
      </c>
      <c r="F92">
        <f>Raw_Data!G92</f>
        <v>0</v>
      </c>
      <c r="G92">
        <f>Raw_Data!E92</f>
        <v>36631.760000000002</v>
      </c>
      <c r="H92">
        <f>Raw_Data!I92</f>
        <v>125610.79</v>
      </c>
      <c r="I92">
        <f>Raw_Data!J92</f>
        <v>0</v>
      </c>
      <c r="J92">
        <f t="shared" si="3"/>
        <v>3</v>
      </c>
      <c r="K92" t="str">
        <f t="shared" si="4"/>
        <v>Medium Risk</v>
      </c>
    </row>
    <row r="93" spans="1:11" x14ac:dyDescent="0.35">
      <c r="A93">
        <f>Raw_Data!A93</f>
        <v>92</v>
      </c>
      <c r="B93">
        <f>Raw_Data!B93</f>
        <v>35</v>
      </c>
      <c r="C93">
        <f>Raw_Data!D93</f>
        <v>32</v>
      </c>
      <c r="D93">
        <f>Raw_Data!F93</f>
        <v>2</v>
      </c>
      <c r="E93">
        <f>Raw_Data!H93</f>
        <v>0</v>
      </c>
      <c r="F93">
        <f>Raw_Data!G93</f>
        <v>0</v>
      </c>
      <c r="G93">
        <f>Raw_Data!E93</f>
        <v>41018.879999999997</v>
      </c>
      <c r="H93">
        <f>Raw_Data!I93</f>
        <v>30712.78</v>
      </c>
      <c r="I93">
        <f>Raw_Data!J93</f>
        <v>0</v>
      </c>
      <c r="J93">
        <f t="shared" si="3"/>
        <v>3</v>
      </c>
      <c r="K93" t="str">
        <f t="shared" si="4"/>
        <v>Medium Risk</v>
      </c>
    </row>
    <row r="94" spans="1:11" x14ac:dyDescent="0.35">
      <c r="A94">
        <f>Raw_Data!A94</f>
        <v>93</v>
      </c>
      <c r="B94">
        <f>Raw_Data!B94</f>
        <v>64</v>
      </c>
      <c r="C94">
        <f>Raw_Data!D94</f>
        <v>2</v>
      </c>
      <c r="D94">
        <f>Raw_Data!F94</f>
        <v>1</v>
      </c>
      <c r="E94">
        <f>Raw_Data!H94</f>
        <v>0</v>
      </c>
      <c r="F94">
        <f>Raw_Data!G94</f>
        <v>1</v>
      </c>
      <c r="G94">
        <f>Raw_Data!E94</f>
        <v>15658.1</v>
      </c>
      <c r="H94">
        <f>Raw_Data!I94</f>
        <v>97995.82</v>
      </c>
      <c r="I94">
        <f>Raw_Data!J94</f>
        <v>0</v>
      </c>
      <c r="J94">
        <f t="shared" si="3"/>
        <v>5</v>
      </c>
      <c r="K94" t="str">
        <f t="shared" si="4"/>
        <v>High Risk</v>
      </c>
    </row>
    <row r="95" spans="1:11" x14ac:dyDescent="0.35">
      <c r="A95">
        <f>Raw_Data!A95</f>
        <v>94</v>
      </c>
      <c r="B95">
        <f>Raw_Data!B95</f>
        <v>41</v>
      </c>
      <c r="C95">
        <f>Raw_Data!D95</f>
        <v>47</v>
      </c>
      <c r="D95">
        <f>Raw_Data!F95</f>
        <v>1</v>
      </c>
      <c r="E95">
        <f>Raw_Data!H95</f>
        <v>1</v>
      </c>
      <c r="F95">
        <f>Raw_Data!G95</f>
        <v>0</v>
      </c>
      <c r="G95">
        <f>Raw_Data!E95</f>
        <v>39929.660000000003</v>
      </c>
      <c r="H95">
        <f>Raw_Data!I95</f>
        <v>83134.09</v>
      </c>
      <c r="I95">
        <f>Raw_Data!J95</f>
        <v>0</v>
      </c>
      <c r="J95">
        <f t="shared" si="3"/>
        <v>0</v>
      </c>
      <c r="K95" t="str">
        <f t="shared" si="4"/>
        <v>Low Risk</v>
      </c>
    </row>
    <row r="96" spans="1:11" x14ac:dyDescent="0.35">
      <c r="A96">
        <f>Raw_Data!A96</f>
        <v>95</v>
      </c>
      <c r="B96">
        <f>Raw_Data!B96</f>
        <v>43</v>
      </c>
      <c r="C96">
        <f>Raw_Data!D96</f>
        <v>22</v>
      </c>
      <c r="D96">
        <f>Raw_Data!F96</f>
        <v>4</v>
      </c>
      <c r="E96">
        <f>Raw_Data!H96</f>
        <v>0</v>
      </c>
      <c r="F96">
        <f>Raw_Data!G96</f>
        <v>0</v>
      </c>
      <c r="G96">
        <f>Raw_Data!E96</f>
        <v>48387.79</v>
      </c>
      <c r="H96">
        <f>Raw_Data!I96</f>
        <v>90970.06</v>
      </c>
      <c r="I96">
        <f>Raw_Data!J96</f>
        <v>0</v>
      </c>
      <c r="J96">
        <f t="shared" si="3"/>
        <v>5</v>
      </c>
      <c r="K96" t="str">
        <f t="shared" si="4"/>
        <v>High Risk</v>
      </c>
    </row>
    <row r="97" spans="1:11" x14ac:dyDescent="0.35">
      <c r="A97">
        <f>Raw_Data!A97</f>
        <v>96</v>
      </c>
      <c r="B97">
        <f>Raw_Data!B97</f>
        <v>42</v>
      </c>
      <c r="C97">
        <f>Raw_Data!D97</f>
        <v>27</v>
      </c>
      <c r="D97">
        <f>Raw_Data!F97</f>
        <v>4</v>
      </c>
      <c r="E97">
        <f>Raw_Data!H97</f>
        <v>1</v>
      </c>
      <c r="F97">
        <f>Raw_Data!G97</f>
        <v>0</v>
      </c>
      <c r="G97">
        <f>Raw_Data!E97</f>
        <v>42843.7</v>
      </c>
      <c r="H97">
        <f>Raw_Data!I97</f>
        <v>140406.68</v>
      </c>
      <c r="I97">
        <f>Raw_Data!J97</f>
        <v>0</v>
      </c>
      <c r="J97">
        <f t="shared" si="3"/>
        <v>3</v>
      </c>
      <c r="K97" t="str">
        <f t="shared" si="4"/>
        <v>Medium Risk</v>
      </c>
    </row>
    <row r="98" spans="1:11" x14ac:dyDescent="0.35">
      <c r="A98">
        <f>Raw_Data!A98</f>
        <v>97</v>
      </c>
      <c r="B98">
        <f>Raw_Data!B98</f>
        <v>62</v>
      </c>
      <c r="C98">
        <f>Raw_Data!D98</f>
        <v>67</v>
      </c>
      <c r="D98">
        <f>Raw_Data!F98</f>
        <v>2</v>
      </c>
      <c r="E98">
        <f>Raw_Data!H98</f>
        <v>0</v>
      </c>
      <c r="F98">
        <f>Raw_Data!G98</f>
        <v>0</v>
      </c>
      <c r="G98">
        <f>Raw_Data!E98</f>
        <v>5882.2</v>
      </c>
      <c r="H98">
        <f>Raw_Data!I98</f>
        <v>133270.98000000001</v>
      </c>
      <c r="I98">
        <f>Raw_Data!J98</f>
        <v>0</v>
      </c>
      <c r="J98">
        <f t="shared" si="3"/>
        <v>3</v>
      </c>
      <c r="K98" t="str">
        <f t="shared" si="4"/>
        <v>Medium Risk</v>
      </c>
    </row>
    <row r="99" spans="1:11" x14ac:dyDescent="0.35">
      <c r="A99">
        <f>Raw_Data!A99</f>
        <v>98</v>
      </c>
      <c r="B99">
        <f>Raw_Data!B99</f>
        <v>58</v>
      </c>
      <c r="C99">
        <f>Raw_Data!D99</f>
        <v>56</v>
      </c>
      <c r="D99">
        <f>Raw_Data!F99</f>
        <v>1</v>
      </c>
      <c r="E99">
        <f>Raw_Data!H99</f>
        <v>0</v>
      </c>
      <c r="F99">
        <f>Raw_Data!G99</f>
        <v>0</v>
      </c>
      <c r="G99">
        <f>Raw_Data!E99</f>
        <v>36986.519999999997</v>
      </c>
      <c r="H99">
        <f>Raw_Data!I99</f>
        <v>122060.88</v>
      </c>
      <c r="I99">
        <f>Raw_Data!J99</f>
        <v>0</v>
      </c>
      <c r="J99">
        <f t="shared" si="3"/>
        <v>3</v>
      </c>
      <c r="K99" t="str">
        <f t="shared" si="4"/>
        <v>Medium Risk</v>
      </c>
    </row>
    <row r="100" spans="1:11" x14ac:dyDescent="0.35">
      <c r="A100">
        <f>Raw_Data!A100</f>
        <v>99</v>
      </c>
      <c r="B100">
        <f>Raw_Data!B100</f>
        <v>46</v>
      </c>
      <c r="C100">
        <f>Raw_Data!D100</f>
        <v>21</v>
      </c>
      <c r="D100">
        <f>Raw_Data!F100</f>
        <v>3</v>
      </c>
      <c r="E100">
        <f>Raw_Data!H100</f>
        <v>1</v>
      </c>
      <c r="F100">
        <f>Raw_Data!G100</f>
        <v>0</v>
      </c>
      <c r="G100">
        <f>Raw_Data!E100</f>
        <v>15983.34</v>
      </c>
      <c r="H100">
        <f>Raw_Data!I100</f>
        <v>55580.800000000003</v>
      </c>
      <c r="I100">
        <f>Raw_Data!J100</f>
        <v>0</v>
      </c>
      <c r="J100">
        <f t="shared" si="3"/>
        <v>0</v>
      </c>
      <c r="K100" t="str">
        <f t="shared" si="4"/>
        <v>Low Risk</v>
      </c>
    </row>
    <row r="101" spans="1:11" x14ac:dyDescent="0.35">
      <c r="A101">
        <f>Raw_Data!A101</f>
        <v>100</v>
      </c>
      <c r="B101">
        <f>Raw_Data!B101</f>
        <v>32</v>
      </c>
      <c r="C101">
        <f>Raw_Data!D101</f>
        <v>47</v>
      </c>
      <c r="D101">
        <f>Raw_Data!F101</f>
        <v>4</v>
      </c>
      <c r="E101">
        <f>Raw_Data!H101</f>
        <v>1</v>
      </c>
      <c r="F101">
        <f>Raw_Data!G101</f>
        <v>0</v>
      </c>
      <c r="G101">
        <f>Raw_Data!E101</f>
        <v>49420.800000000003</v>
      </c>
      <c r="H101">
        <f>Raw_Data!I101</f>
        <v>138536.42000000001</v>
      </c>
      <c r="I101">
        <f>Raw_Data!J101</f>
        <v>0</v>
      </c>
      <c r="J101">
        <f t="shared" si="3"/>
        <v>3</v>
      </c>
      <c r="K101" t="str">
        <f t="shared" si="4"/>
        <v>Medium Risk</v>
      </c>
    </row>
    <row r="102" spans="1:11" x14ac:dyDescent="0.35">
      <c r="A102">
        <f>Raw_Data!A102</f>
        <v>101</v>
      </c>
      <c r="B102">
        <f>Raw_Data!B102</f>
        <v>62</v>
      </c>
      <c r="C102">
        <f>Raw_Data!D102</f>
        <v>59</v>
      </c>
      <c r="D102">
        <f>Raw_Data!F102</f>
        <v>3</v>
      </c>
      <c r="E102">
        <f>Raw_Data!H102</f>
        <v>0</v>
      </c>
      <c r="F102">
        <f>Raw_Data!G102</f>
        <v>1</v>
      </c>
      <c r="G102">
        <f>Raw_Data!E102</f>
        <v>24267.95</v>
      </c>
      <c r="H102">
        <f>Raw_Data!I102</f>
        <v>32676</v>
      </c>
      <c r="I102">
        <f>Raw_Data!J102</f>
        <v>0</v>
      </c>
      <c r="J102">
        <f t="shared" si="3"/>
        <v>3</v>
      </c>
      <c r="K102" t="str">
        <f t="shared" si="4"/>
        <v>Medium Risk</v>
      </c>
    </row>
    <row r="103" spans="1:11" x14ac:dyDescent="0.35">
      <c r="A103">
        <f>Raw_Data!A103</f>
        <v>102</v>
      </c>
      <c r="B103">
        <f>Raw_Data!B103</f>
        <v>18</v>
      </c>
      <c r="C103">
        <f>Raw_Data!D103</f>
        <v>6</v>
      </c>
      <c r="D103">
        <f>Raw_Data!F103</f>
        <v>4</v>
      </c>
      <c r="E103">
        <f>Raw_Data!H103</f>
        <v>1</v>
      </c>
      <c r="F103">
        <f>Raw_Data!G103</f>
        <v>0</v>
      </c>
      <c r="G103">
        <f>Raw_Data!E103</f>
        <v>6121.69</v>
      </c>
      <c r="H103">
        <f>Raw_Data!I103</f>
        <v>130932.8</v>
      </c>
      <c r="I103">
        <f>Raw_Data!J103</f>
        <v>0</v>
      </c>
      <c r="J103">
        <f t="shared" si="3"/>
        <v>4</v>
      </c>
      <c r="K103" t="str">
        <f t="shared" si="4"/>
        <v>Medium Risk</v>
      </c>
    </row>
    <row r="104" spans="1:11" x14ac:dyDescent="0.35">
      <c r="A104">
        <f>Raw_Data!A104</f>
        <v>103</v>
      </c>
      <c r="B104">
        <f>Raw_Data!B104</f>
        <v>42</v>
      </c>
      <c r="C104">
        <f>Raw_Data!D104</f>
        <v>19</v>
      </c>
      <c r="D104">
        <f>Raw_Data!F104</f>
        <v>2</v>
      </c>
      <c r="E104">
        <f>Raw_Data!H104</f>
        <v>1</v>
      </c>
      <c r="F104">
        <f>Raw_Data!G104</f>
        <v>1</v>
      </c>
      <c r="G104">
        <f>Raw_Data!E104</f>
        <v>36259.279999999999</v>
      </c>
      <c r="H104">
        <f>Raw_Data!I104</f>
        <v>62660.81</v>
      </c>
      <c r="I104">
        <f>Raw_Data!J104</f>
        <v>0</v>
      </c>
      <c r="J104">
        <f t="shared" si="3"/>
        <v>0</v>
      </c>
      <c r="K104" t="str">
        <f t="shared" si="4"/>
        <v>Low Risk</v>
      </c>
    </row>
    <row r="105" spans="1:11" x14ac:dyDescent="0.35">
      <c r="A105">
        <f>Raw_Data!A105</f>
        <v>104</v>
      </c>
      <c r="B105">
        <f>Raw_Data!B105</f>
        <v>24</v>
      </c>
      <c r="C105">
        <f>Raw_Data!D105</f>
        <v>57</v>
      </c>
      <c r="D105">
        <f>Raw_Data!F105</f>
        <v>1</v>
      </c>
      <c r="E105">
        <f>Raw_Data!H105</f>
        <v>1</v>
      </c>
      <c r="F105">
        <f>Raw_Data!G105</f>
        <v>1</v>
      </c>
      <c r="G105">
        <f>Raw_Data!E105</f>
        <v>16150.56</v>
      </c>
      <c r="H105">
        <f>Raw_Data!I105</f>
        <v>26990.400000000001</v>
      </c>
      <c r="I105">
        <f>Raw_Data!J105</f>
        <v>0</v>
      </c>
      <c r="J105">
        <f t="shared" si="3"/>
        <v>0</v>
      </c>
      <c r="K105" t="str">
        <f t="shared" si="4"/>
        <v>Low Risk</v>
      </c>
    </row>
    <row r="106" spans="1:11" x14ac:dyDescent="0.35">
      <c r="A106">
        <f>Raw_Data!A106</f>
        <v>105</v>
      </c>
      <c r="B106">
        <f>Raw_Data!B106</f>
        <v>26</v>
      </c>
      <c r="C106">
        <f>Raw_Data!D106</f>
        <v>69</v>
      </c>
      <c r="D106">
        <f>Raw_Data!F106</f>
        <v>4</v>
      </c>
      <c r="E106">
        <f>Raw_Data!H106</f>
        <v>1</v>
      </c>
      <c r="F106">
        <f>Raw_Data!G106</f>
        <v>1</v>
      </c>
      <c r="G106">
        <f>Raw_Data!E106</f>
        <v>49853.91</v>
      </c>
      <c r="H106">
        <f>Raw_Data!I106</f>
        <v>107016.41</v>
      </c>
      <c r="I106">
        <f>Raw_Data!J106</f>
        <v>0</v>
      </c>
      <c r="J106">
        <f t="shared" si="3"/>
        <v>3</v>
      </c>
      <c r="K106" t="str">
        <f t="shared" si="4"/>
        <v>Medium Risk</v>
      </c>
    </row>
    <row r="107" spans="1:11" x14ac:dyDescent="0.35">
      <c r="A107">
        <f>Raw_Data!A107</f>
        <v>106</v>
      </c>
      <c r="B107">
        <f>Raw_Data!B107</f>
        <v>41</v>
      </c>
      <c r="C107">
        <f>Raw_Data!D107</f>
        <v>3</v>
      </c>
      <c r="D107">
        <f>Raw_Data!F107</f>
        <v>1</v>
      </c>
      <c r="E107">
        <f>Raw_Data!H107</f>
        <v>1</v>
      </c>
      <c r="F107">
        <f>Raw_Data!G107</f>
        <v>0</v>
      </c>
      <c r="G107">
        <f>Raw_Data!E107</f>
        <v>48989.120000000003</v>
      </c>
      <c r="H107">
        <f>Raw_Data!I107</f>
        <v>50066.39</v>
      </c>
      <c r="I107">
        <f>Raw_Data!J107</f>
        <v>0</v>
      </c>
      <c r="J107">
        <f t="shared" si="3"/>
        <v>3</v>
      </c>
      <c r="K107" t="str">
        <f t="shared" si="4"/>
        <v>Medium Risk</v>
      </c>
    </row>
    <row r="108" spans="1:11" x14ac:dyDescent="0.35">
      <c r="A108">
        <f>Raw_Data!A108</f>
        <v>107</v>
      </c>
      <c r="B108">
        <f>Raw_Data!B108</f>
        <v>18</v>
      </c>
      <c r="C108">
        <f>Raw_Data!D108</f>
        <v>1</v>
      </c>
      <c r="D108">
        <f>Raw_Data!F108</f>
        <v>3</v>
      </c>
      <c r="E108">
        <f>Raw_Data!H108</f>
        <v>1</v>
      </c>
      <c r="F108">
        <f>Raw_Data!G108</f>
        <v>0</v>
      </c>
      <c r="G108">
        <f>Raw_Data!E108</f>
        <v>32806.699999999997</v>
      </c>
      <c r="H108">
        <f>Raw_Data!I108</f>
        <v>51664.25</v>
      </c>
      <c r="I108">
        <f>Raw_Data!J108</f>
        <v>0</v>
      </c>
      <c r="J108">
        <f t="shared" si="3"/>
        <v>2</v>
      </c>
      <c r="K108" t="str">
        <f t="shared" si="4"/>
        <v>Low Risk</v>
      </c>
    </row>
    <row r="109" spans="1:11" x14ac:dyDescent="0.35">
      <c r="A109">
        <f>Raw_Data!A109</f>
        <v>108</v>
      </c>
      <c r="B109">
        <f>Raw_Data!B109</f>
        <v>61</v>
      </c>
      <c r="C109">
        <f>Raw_Data!D109</f>
        <v>58</v>
      </c>
      <c r="D109">
        <f>Raw_Data!F109</f>
        <v>2</v>
      </c>
      <c r="E109">
        <f>Raw_Data!H109</f>
        <v>1</v>
      </c>
      <c r="F109">
        <f>Raw_Data!G109</f>
        <v>1</v>
      </c>
      <c r="G109">
        <f>Raw_Data!E109</f>
        <v>6491.32</v>
      </c>
      <c r="H109">
        <f>Raw_Data!I109</f>
        <v>59786.13</v>
      </c>
      <c r="I109">
        <f>Raw_Data!J109</f>
        <v>0</v>
      </c>
      <c r="J109">
        <f t="shared" si="3"/>
        <v>1</v>
      </c>
      <c r="K109" t="str">
        <f t="shared" si="4"/>
        <v>Low Risk</v>
      </c>
    </row>
    <row r="110" spans="1:11" x14ac:dyDescent="0.35">
      <c r="A110">
        <f>Raw_Data!A110</f>
        <v>109</v>
      </c>
      <c r="B110">
        <f>Raw_Data!B110</f>
        <v>25</v>
      </c>
      <c r="C110">
        <f>Raw_Data!D110</f>
        <v>38</v>
      </c>
      <c r="D110">
        <f>Raw_Data!F110</f>
        <v>1</v>
      </c>
      <c r="E110">
        <f>Raw_Data!H110</f>
        <v>1</v>
      </c>
      <c r="F110">
        <f>Raw_Data!G110</f>
        <v>0</v>
      </c>
      <c r="G110">
        <f>Raw_Data!E110</f>
        <v>34343.050000000003</v>
      </c>
      <c r="H110">
        <f>Raw_Data!I110</f>
        <v>28279.02</v>
      </c>
      <c r="I110">
        <f>Raw_Data!J110</f>
        <v>0</v>
      </c>
      <c r="J110">
        <f t="shared" si="3"/>
        <v>0</v>
      </c>
      <c r="K110" t="str">
        <f t="shared" si="4"/>
        <v>Low Risk</v>
      </c>
    </row>
    <row r="111" spans="1:11" x14ac:dyDescent="0.35">
      <c r="A111">
        <f>Raw_Data!A111</f>
        <v>110</v>
      </c>
      <c r="B111">
        <f>Raw_Data!B111</f>
        <v>41</v>
      </c>
      <c r="C111">
        <f>Raw_Data!D111</f>
        <v>15</v>
      </c>
      <c r="D111">
        <f>Raw_Data!F111</f>
        <v>2</v>
      </c>
      <c r="E111">
        <f>Raw_Data!H111</f>
        <v>0</v>
      </c>
      <c r="F111">
        <f>Raw_Data!G111</f>
        <v>1</v>
      </c>
      <c r="G111">
        <f>Raw_Data!E111</f>
        <v>4651.5200000000004</v>
      </c>
      <c r="H111">
        <f>Raw_Data!I111</f>
        <v>43026.53</v>
      </c>
      <c r="I111">
        <f>Raw_Data!J111</f>
        <v>0</v>
      </c>
      <c r="J111">
        <f t="shared" si="3"/>
        <v>2</v>
      </c>
      <c r="K111" t="str">
        <f t="shared" si="4"/>
        <v>Low Risk</v>
      </c>
    </row>
    <row r="112" spans="1:11" x14ac:dyDescent="0.35">
      <c r="A112">
        <f>Raw_Data!A112</f>
        <v>111</v>
      </c>
      <c r="B112">
        <f>Raw_Data!B112</f>
        <v>28</v>
      </c>
      <c r="C112">
        <f>Raw_Data!D112</f>
        <v>34</v>
      </c>
      <c r="D112">
        <f>Raw_Data!F112</f>
        <v>1</v>
      </c>
      <c r="E112">
        <f>Raw_Data!H112</f>
        <v>1</v>
      </c>
      <c r="F112">
        <f>Raw_Data!G112</f>
        <v>0</v>
      </c>
      <c r="G112">
        <f>Raw_Data!E112</f>
        <v>1468.21</v>
      </c>
      <c r="H112">
        <f>Raw_Data!I112</f>
        <v>20668.150000000001</v>
      </c>
      <c r="I112">
        <f>Raw_Data!J112</f>
        <v>0</v>
      </c>
      <c r="J112">
        <f t="shared" si="3"/>
        <v>0</v>
      </c>
      <c r="K112" t="str">
        <f t="shared" si="4"/>
        <v>Low Risk</v>
      </c>
    </row>
    <row r="113" spans="1:11" x14ac:dyDescent="0.35">
      <c r="A113">
        <f>Raw_Data!A113</f>
        <v>112</v>
      </c>
      <c r="B113">
        <f>Raw_Data!B113</f>
        <v>68</v>
      </c>
      <c r="C113">
        <f>Raw_Data!D113</f>
        <v>61</v>
      </c>
      <c r="D113">
        <f>Raw_Data!F113</f>
        <v>3</v>
      </c>
      <c r="E113">
        <f>Raw_Data!H113</f>
        <v>0</v>
      </c>
      <c r="F113">
        <f>Raw_Data!G113</f>
        <v>0</v>
      </c>
      <c r="G113">
        <f>Raw_Data!E113</f>
        <v>41147.919999999998</v>
      </c>
      <c r="H113">
        <f>Raw_Data!I113</f>
        <v>77903.240000000005</v>
      </c>
      <c r="I113">
        <f>Raw_Data!J113</f>
        <v>0</v>
      </c>
      <c r="J113">
        <f t="shared" si="3"/>
        <v>4</v>
      </c>
      <c r="K113" t="str">
        <f t="shared" si="4"/>
        <v>Medium Risk</v>
      </c>
    </row>
    <row r="114" spans="1:11" x14ac:dyDescent="0.35">
      <c r="A114">
        <f>Raw_Data!A114</f>
        <v>113</v>
      </c>
      <c r="B114">
        <f>Raw_Data!B114</f>
        <v>34</v>
      </c>
      <c r="C114">
        <f>Raw_Data!D114</f>
        <v>35</v>
      </c>
      <c r="D114">
        <f>Raw_Data!F114</f>
        <v>3</v>
      </c>
      <c r="E114">
        <f>Raw_Data!H114</f>
        <v>1</v>
      </c>
      <c r="F114">
        <f>Raw_Data!G114</f>
        <v>1</v>
      </c>
      <c r="G114">
        <f>Raw_Data!E114</f>
        <v>10487.65</v>
      </c>
      <c r="H114">
        <f>Raw_Data!I114</f>
        <v>30953.200000000001</v>
      </c>
      <c r="I114">
        <f>Raw_Data!J114</f>
        <v>0</v>
      </c>
      <c r="J114">
        <f t="shared" si="3"/>
        <v>0</v>
      </c>
      <c r="K114" t="str">
        <f t="shared" si="4"/>
        <v>Low Risk</v>
      </c>
    </row>
    <row r="115" spans="1:11" x14ac:dyDescent="0.35">
      <c r="A115">
        <f>Raw_Data!A115</f>
        <v>114</v>
      </c>
      <c r="B115">
        <f>Raw_Data!B115</f>
        <v>25</v>
      </c>
      <c r="C115">
        <f>Raw_Data!D115</f>
        <v>64</v>
      </c>
      <c r="D115">
        <f>Raw_Data!F115</f>
        <v>2</v>
      </c>
      <c r="E115">
        <f>Raw_Data!H115</f>
        <v>1</v>
      </c>
      <c r="F115">
        <f>Raw_Data!G115</f>
        <v>1</v>
      </c>
      <c r="G115">
        <f>Raw_Data!E115</f>
        <v>18951.36</v>
      </c>
      <c r="H115">
        <f>Raw_Data!I115</f>
        <v>108744.84</v>
      </c>
      <c r="I115">
        <f>Raw_Data!J115</f>
        <v>0</v>
      </c>
      <c r="J115">
        <f t="shared" si="3"/>
        <v>0</v>
      </c>
      <c r="K115" t="str">
        <f t="shared" si="4"/>
        <v>Low Risk</v>
      </c>
    </row>
    <row r="116" spans="1:11" x14ac:dyDescent="0.35">
      <c r="A116">
        <f>Raw_Data!A116</f>
        <v>115</v>
      </c>
      <c r="B116">
        <f>Raw_Data!B116</f>
        <v>52</v>
      </c>
      <c r="C116">
        <f>Raw_Data!D116</f>
        <v>25</v>
      </c>
      <c r="D116">
        <f>Raw_Data!F116</f>
        <v>3</v>
      </c>
      <c r="E116">
        <f>Raw_Data!H116</f>
        <v>1</v>
      </c>
      <c r="F116">
        <f>Raw_Data!G116</f>
        <v>1</v>
      </c>
      <c r="G116">
        <f>Raw_Data!E116</f>
        <v>48672.87</v>
      </c>
      <c r="H116">
        <f>Raw_Data!I116</f>
        <v>50630.97</v>
      </c>
      <c r="I116">
        <f>Raw_Data!J116</f>
        <v>0</v>
      </c>
      <c r="J116">
        <f t="shared" si="3"/>
        <v>1</v>
      </c>
      <c r="K116" t="str">
        <f t="shared" si="4"/>
        <v>Low Risk</v>
      </c>
    </row>
    <row r="117" spans="1:11" x14ac:dyDescent="0.35">
      <c r="A117">
        <f>Raw_Data!A117</f>
        <v>116</v>
      </c>
      <c r="B117">
        <f>Raw_Data!B117</f>
        <v>52</v>
      </c>
      <c r="C117">
        <f>Raw_Data!D117</f>
        <v>24</v>
      </c>
      <c r="D117">
        <f>Raw_Data!F117</f>
        <v>4</v>
      </c>
      <c r="E117">
        <f>Raw_Data!H117</f>
        <v>1</v>
      </c>
      <c r="F117">
        <f>Raw_Data!G117</f>
        <v>0</v>
      </c>
      <c r="G117">
        <f>Raw_Data!E117</f>
        <v>16842.03</v>
      </c>
      <c r="H117">
        <f>Raw_Data!I117</f>
        <v>142664.64000000001</v>
      </c>
      <c r="I117">
        <f>Raw_Data!J117</f>
        <v>0</v>
      </c>
      <c r="J117">
        <f t="shared" si="3"/>
        <v>2</v>
      </c>
      <c r="K117" t="str">
        <f t="shared" si="4"/>
        <v>Low Risk</v>
      </c>
    </row>
    <row r="118" spans="1:11" x14ac:dyDescent="0.35">
      <c r="A118">
        <f>Raw_Data!A118</f>
        <v>117</v>
      </c>
      <c r="B118">
        <f>Raw_Data!B118</f>
        <v>50</v>
      </c>
      <c r="C118">
        <f>Raw_Data!D118</f>
        <v>12</v>
      </c>
      <c r="D118">
        <f>Raw_Data!F118</f>
        <v>1</v>
      </c>
      <c r="E118">
        <f>Raw_Data!H118</f>
        <v>0</v>
      </c>
      <c r="F118">
        <f>Raw_Data!G118</f>
        <v>1</v>
      </c>
      <c r="G118">
        <f>Raw_Data!E118</f>
        <v>14824.49</v>
      </c>
      <c r="H118">
        <f>Raw_Data!I118</f>
        <v>133262.71</v>
      </c>
      <c r="I118">
        <f>Raw_Data!J118</f>
        <v>0</v>
      </c>
      <c r="J118">
        <f t="shared" si="3"/>
        <v>4</v>
      </c>
      <c r="K118" t="str">
        <f t="shared" si="4"/>
        <v>Medium Risk</v>
      </c>
    </row>
    <row r="119" spans="1:11" x14ac:dyDescent="0.35">
      <c r="A119">
        <f>Raw_Data!A119</f>
        <v>118</v>
      </c>
      <c r="B119">
        <f>Raw_Data!B119</f>
        <v>22</v>
      </c>
      <c r="C119">
        <f>Raw_Data!D119</f>
        <v>18</v>
      </c>
      <c r="D119">
        <f>Raw_Data!F119</f>
        <v>3</v>
      </c>
      <c r="E119">
        <f>Raw_Data!H119</f>
        <v>0</v>
      </c>
      <c r="F119">
        <f>Raw_Data!G119</f>
        <v>0</v>
      </c>
      <c r="G119">
        <f>Raw_Data!E119</f>
        <v>45910.400000000001</v>
      </c>
      <c r="H119">
        <f>Raw_Data!I119</f>
        <v>57627.32</v>
      </c>
      <c r="I119">
        <f>Raw_Data!J119</f>
        <v>0</v>
      </c>
      <c r="J119">
        <f t="shared" si="3"/>
        <v>3</v>
      </c>
      <c r="K119" t="str">
        <f t="shared" si="4"/>
        <v>Medium Risk</v>
      </c>
    </row>
    <row r="120" spans="1:11" x14ac:dyDescent="0.35">
      <c r="A120">
        <f>Raw_Data!A120</f>
        <v>119</v>
      </c>
      <c r="B120">
        <f>Raw_Data!B120</f>
        <v>59</v>
      </c>
      <c r="C120">
        <f>Raw_Data!D120</f>
        <v>15</v>
      </c>
      <c r="D120">
        <f>Raw_Data!F120</f>
        <v>4</v>
      </c>
      <c r="E120">
        <f>Raw_Data!H120</f>
        <v>1</v>
      </c>
      <c r="F120">
        <f>Raw_Data!G120</f>
        <v>0</v>
      </c>
      <c r="G120">
        <f>Raw_Data!E120</f>
        <v>5537.42</v>
      </c>
      <c r="H120">
        <f>Raw_Data!I120</f>
        <v>121818.01</v>
      </c>
      <c r="I120">
        <f>Raw_Data!J120</f>
        <v>0</v>
      </c>
      <c r="J120">
        <f t="shared" si="3"/>
        <v>3</v>
      </c>
      <c r="K120" t="str">
        <f t="shared" si="4"/>
        <v>Medium Risk</v>
      </c>
    </row>
    <row r="121" spans="1:11" x14ac:dyDescent="0.35">
      <c r="A121">
        <f>Raw_Data!A121</f>
        <v>120</v>
      </c>
      <c r="B121">
        <f>Raw_Data!B121</f>
        <v>56</v>
      </c>
      <c r="C121">
        <f>Raw_Data!D121</f>
        <v>27</v>
      </c>
      <c r="D121">
        <f>Raw_Data!F121</f>
        <v>2</v>
      </c>
      <c r="E121">
        <f>Raw_Data!H121</f>
        <v>0</v>
      </c>
      <c r="F121">
        <f>Raw_Data!G121</f>
        <v>0</v>
      </c>
      <c r="G121">
        <f>Raw_Data!E121</f>
        <v>37979.120000000003</v>
      </c>
      <c r="H121">
        <f>Raw_Data!I121</f>
        <v>124421.84</v>
      </c>
      <c r="I121">
        <f>Raw_Data!J121</f>
        <v>0</v>
      </c>
      <c r="J121">
        <f t="shared" si="3"/>
        <v>3</v>
      </c>
      <c r="K121" t="str">
        <f t="shared" si="4"/>
        <v>Medium Risk</v>
      </c>
    </row>
    <row r="122" spans="1:11" x14ac:dyDescent="0.35">
      <c r="A122">
        <f>Raw_Data!A122</f>
        <v>121</v>
      </c>
      <c r="B122">
        <f>Raw_Data!B122</f>
        <v>58</v>
      </c>
      <c r="C122">
        <f>Raw_Data!D122</f>
        <v>60</v>
      </c>
      <c r="D122">
        <f>Raw_Data!F122</f>
        <v>4</v>
      </c>
      <c r="E122">
        <f>Raw_Data!H122</f>
        <v>1</v>
      </c>
      <c r="F122">
        <f>Raw_Data!G122</f>
        <v>1</v>
      </c>
      <c r="G122">
        <f>Raw_Data!E122</f>
        <v>49403.28</v>
      </c>
      <c r="H122">
        <f>Raw_Data!I122</f>
        <v>148253.20000000001</v>
      </c>
      <c r="I122">
        <f>Raw_Data!J122</f>
        <v>0</v>
      </c>
      <c r="J122">
        <f t="shared" si="3"/>
        <v>4</v>
      </c>
      <c r="K122" t="str">
        <f t="shared" si="4"/>
        <v>Medium Risk</v>
      </c>
    </row>
    <row r="123" spans="1:11" x14ac:dyDescent="0.35">
      <c r="A123">
        <f>Raw_Data!A123</f>
        <v>122</v>
      </c>
      <c r="B123">
        <f>Raw_Data!B123</f>
        <v>45</v>
      </c>
      <c r="C123">
        <f>Raw_Data!D123</f>
        <v>46</v>
      </c>
      <c r="D123">
        <f>Raw_Data!F123</f>
        <v>2</v>
      </c>
      <c r="E123">
        <f>Raw_Data!H123</f>
        <v>1</v>
      </c>
      <c r="F123">
        <f>Raw_Data!G123</f>
        <v>1</v>
      </c>
      <c r="G123">
        <f>Raw_Data!E123</f>
        <v>45064.800000000003</v>
      </c>
      <c r="H123">
        <f>Raw_Data!I123</f>
        <v>97719.2</v>
      </c>
      <c r="I123">
        <f>Raw_Data!J123</f>
        <v>0</v>
      </c>
      <c r="J123">
        <f t="shared" si="3"/>
        <v>1</v>
      </c>
      <c r="K123" t="str">
        <f t="shared" si="4"/>
        <v>Low Risk</v>
      </c>
    </row>
    <row r="124" spans="1:11" x14ac:dyDescent="0.35">
      <c r="A124">
        <f>Raw_Data!A124</f>
        <v>123</v>
      </c>
      <c r="B124">
        <f>Raw_Data!B124</f>
        <v>24</v>
      </c>
      <c r="C124">
        <f>Raw_Data!D124</f>
        <v>17</v>
      </c>
      <c r="D124">
        <f>Raw_Data!F124</f>
        <v>2</v>
      </c>
      <c r="E124">
        <f>Raw_Data!H124</f>
        <v>0</v>
      </c>
      <c r="F124">
        <f>Raw_Data!G124</f>
        <v>1</v>
      </c>
      <c r="G124">
        <f>Raw_Data!E124</f>
        <v>32583.4</v>
      </c>
      <c r="H124">
        <f>Raw_Data!I124</f>
        <v>30655.55</v>
      </c>
      <c r="I124">
        <f>Raw_Data!J124</f>
        <v>0</v>
      </c>
      <c r="J124">
        <f t="shared" si="3"/>
        <v>2</v>
      </c>
      <c r="K124" t="str">
        <f t="shared" si="4"/>
        <v>Low Risk</v>
      </c>
    </row>
    <row r="125" spans="1:11" x14ac:dyDescent="0.35">
      <c r="A125">
        <f>Raw_Data!A125</f>
        <v>124</v>
      </c>
      <c r="B125">
        <f>Raw_Data!B125</f>
        <v>26</v>
      </c>
      <c r="C125">
        <f>Raw_Data!D125</f>
        <v>53</v>
      </c>
      <c r="D125">
        <f>Raw_Data!F125</f>
        <v>1</v>
      </c>
      <c r="E125">
        <f>Raw_Data!H125</f>
        <v>0</v>
      </c>
      <c r="F125">
        <f>Raw_Data!G125</f>
        <v>0</v>
      </c>
      <c r="G125">
        <f>Raw_Data!E125</f>
        <v>15703.04</v>
      </c>
      <c r="H125">
        <f>Raw_Data!I125</f>
        <v>104088.84</v>
      </c>
      <c r="I125">
        <f>Raw_Data!J125</f>
        <v>0</v>
      </c>
      <c r="J125">
        <f t="shared" si="3"/>
        <v>2</v>
      </c>
      <c r="K125" t="str">
        <f t="shared" si="4"/>
        <v>Low Risk</v>
      </c>
    </row>
    <row r="126" spans="1:11" x14ac:dyDescent="0.35">
      <c r="A126">
        <f>Raw_Data!A126</f>
        <v>125</v>
      </c>
      <c r="B126">
        <f>Raw_Data!B126</f>
        <v>25</v>
      </c>
      <c r="C126">
        <f>Raw_Data!D126</f>
        <v>8</v>
      </c>
      <c r="D126">
        <f>Raw_Data!F126</f>
        <v>1</v>
      </c>
      <c r="E126">
        <f>Raw_Data!H126</f>
        <v>1</v>
      </c>
      <c r="F126">
        <f>Raw_Data!G126</f>
        <v>0</v>
      </c>
      <c r="G126">
        <f>Raw_Data!E126</f>
        <v>12716.1</v>
      </c>
      <c r="H126">
        <f>Raw_Data!I126</f>
        <v>101247.37</v>
      </c>
      <c r="I126">
        <f>Raw_Data!J126</f>
        <v>0</v>
      </c>
      <c r="J126">
        <f t="shared" si="3"/>
        <v>2</v>
      </c>
      <c r="K126" t="str">
        <f t="shared" si="4"/>
        <v>Low Risk</v>
      </c>
    </row>
    <row r="127" spans="1:11" x14ac:dyDescent="0.35">
      <c r="A127">
        <f>Raw_Data!A127</f>
        <v>126</v>
      </c>
      <c r="B127">
        <f>Raw_Data!B127</f>
        <v>29</v>
      </c>
      <c r="C127">
        <f>Raw_Data!D127</f>
        <v>27</v>
      </c>
      <c r="D127">
        <f>Raw_Data!F127</f>
        <v>4</v>
      </c>
      <c r="E127">
        <f>Raw_Data!H127</f>
        <v>1</v>
      </c>
      <c r="F127">
        <f>Raw_Data!G127</f>
        <v>1</v>
      </c>
      <c r="G127">
        <f>Raw_Data!E127</f>
        <v>40962.76</v>
      </c>
      <c r="H127">
        <f>Raw_Data!I127</f>
        <v>102985.58</v>
      </c>
      <c r="I127">
        <f>Raw_Data!J127</f>
        <v>0</v>
      </c>
      <c r="J127">
        <f t="shared" si="3"/>
        <v>3</v>
      </c>
      <c r="K127" t="str">
        <f t="shared" si="4"/>
        <v>Medium Risk</v>
      </c>
    </row>
    <row r="128" spans="1:11" x14ac:dyDescent="0.35">
      <c r="A128">
        <f>Raw_Data!A128</f>
        <v>127</v>
      </c>
      <c r="B128">
        <f>Raw_Data!B128</f>
        <v>51</v>
      </c>
      <c r="C128">
        <f>Raw_Data!D128</f>
        <v>46</v>
      </c>
      <c r="D128">
        <f>Raw_Data!F128</f>
        <v>1</v>
      </c>
      <c r="E128">
        <f>Raw_Data!H128</f>
        <v>0</v>
      </c>
      <c r="F128">
        <f>Raw_Data!G128</f>
        <v>0</v>
      </c>
      <c r="G128">
        <f>Raw_Data!E128</f>
        <v>43991.1</v>
      </c>
      <c r="H128">
        <f>Raw_Data!I128</f>
        <v>59928.93</v>
      </c>
      <c r="I128">
        <f>Raw_Data!J128</f>
        <v>0</v>
      </c>
      <c r="J128">
        <f t="shared" si="3"/>
        <v>3</v>
      </c>
      <c r="K128" t="str">
        <f t="shared" si="4"/>
        <v>Medium Risk</v>
      </c>
    </row>
    <row r="129" spans="1:11" x14ac:dyDescent="0.35">
      <c r="A129">
        <f>Raw_Data!A129</f>
        <v>128</v>
      </c>
      <c r="B129">
        <f>Raw_Data!B129</f>
        <v>50</v>
      </c>
      <c r="C129">
        <f>Raw_Data!D129</f>
        <v>50</v>
      </c>
      <c r="D129">
        <f>Raw_Data!F129</f>
        <v>1</v>
      </c>
      <c r="E129">
        <f>Raw_Data!H129</f>
        <v>1</v>
      </c>
      <c r="F129">
        <f>Raw_Data!G129</f>
        <v>0</v>
      </c>
      <c r="G129">
        <f>Raw_Data!E129</f>
        <v>26271.75</v>
      </c>
      <c r="H129">
        <f>Raw_Data!I129</f>
        <v>131758.35</v>
      </c>
      <c r="I129">
        <f>Raw_Data!J129</f>
        <v>0</v>
      </c>
      <c r="J129">
        <f t="shared" si="3"/>
        <v>0</v>
      </c>
      <c r="K129" t="str">
        <f t="shared" si="4"/>
        <v>Low Risk</v>
      </c>
    </row>
    <row r="130" spans="1:11" x14ac:dyDescent="0.35">
      <c r="A130">
        <f>Raw_Data!A130</f>
        <v>129</v>
      </c>
      <c r="B130">
        <f>Raw_Data!B130</f>
        <v>65</v>
      </c>
      <c r="C130">
        <f>Raw_Data!D130</f>
        <v>71</v>
      </c>
      <c r="D130">
        <f>Raw_Data!F130</f>
        <v>1</v>
      </c>
      <c r="E130">
        <f>Raw_Data!H130</f>
        <v>0</v>
      </c>
      <c r="F130">
        <f>Raw_Data!G130</f>
        <v>1</v>
      </c>
      <c r="G130">
        <f>Raw_Data!E130</f>
        <v>12217</v>
      </c>
      <c r="H130">
        <f>Raw_Data!I130</f>
        <v>144731.38</v>
      </c>
      <c r="I130">
        <f>Raw_Data!J130</f>
        <v>0</v>
      </c>
      <c r="J130">
        <f t="shared" si="3"/>
        <v>3</v>
      </c>
      <c r="K130" t="str">
        <f t="shared" si="4"/>
        <v>Medium Risk</v>
      </c>
    </row>
    <row r="131" spans="1:11" x14ac:dyDescent="0.35">
      <c r="A131">
        <f>Raw_Data!A131</f>
        <v>130</v>
      </c>
      <c r="B131">
        <f>Raw_Data!B131</f>
        <v>40</v>
      </c>
      <c r="C131">
        <f>Raw_Data!D131</f>
        <v>3</v>
      </c>
      <c r="D131">
        <f>Raw_Data!F131</f>
        <v>4</v>
      </c>
      <c r="E131">
        <f>Raw_Data!H131</f>
        <v>1</v>
      </c>
      <c r="F131">
        <f>Raw_Data!G131</f>
        <v>1</v>
      </c>
      <c r="G131">
        <f>Raw_Data!E131</f>
        <v>5647.16</v>
      </c>
      <c r="H131">
        <f>Raw_Data!I131</f>
        <v>48302.63</v>
      </c>
      <c r="I131">
        <f>Raw_Data!J131</f>
        <v>0</v>
      </c>
      <c r="J131">
        <f t="shared" ref="J131:J194" si="5">IF(E131=0,2,0)+IF(D131=4,2,0)+IF(C131&lt;=12,2,0)+IF(B131&gt;=56,1,0)+IF(G131&gt;=40000,1,0)</f>
        <v>4</v>
      </c>
      <c r="K131" t="str">
        <f t="shared" ref="K131:K194" si="6">IF(J131&gt;=5,"High Risk",IF(J131&gt;=3,"Medium Risk","Low Risk"))</f>
        <v>Medium Risk</v>
      </c>
    </row>
    <row r="132" spans="1:11" x14ac:dyDescent="0.35">
      <c r="A132">
        <f>Raw_Data!A132</f>
        <v>131</v>
      </c>
      <c r="B132">
        <f>Raw_Data!B132</f>
        <v>41</v>
      </c>
      <c r="C132">
        <f>Raw_Data!D132</f>
        <v>64</v>
      </c>
      <c r="D132">
        <f>Raw_Data!F132</f>
        <v>3</v>
      </c>
      <c r="E132">
        <f>Raw_Data!H132</f>
        <v>1</v>
      </c>
      <c r="F132">
        <f>Raw_Data!G132</f>
        <v>1</v>
      </c>
      <c r="G132">
        <f>Raw_Data!E132</f>
        <v>4358.97</v>
      </c>
      <c r="H132">
        <f>Raw_Data!I132</f>
        <v>31459.78</v>
      </c>
      <c r="I132">
        <f>Raw_Data!J132</f>
        <v>0</v>
      </c>
      <c r="J132">
        <f t="shared" si="5"/>
        <v>0</v>
      </c>
      <c r="K132" t="str">
        <f t="shared" si="6"/>
        <v>Low Risk</v>
      </c>
    </row>
    <row r="133" spans="1:11" x14ac:dyDescent="0.35">
      <c r="A133">
        <f>Raw_Data!A133</f>
        <v>132</v>
      </c>
      <c r="B133">
        <f>Raw_Data!B133</f>
        <v>54</v>
      </c>
      <c r="C133">
        <f>Raw_Data!D133</f>
        <v>44</v>
      </c>
      <c r="D133">
        <f>Raw_Data!F133</f>
        <v>1</v>
      </c>
      <c r="E133">
        <f>Raw_Data!H133</f>
        <v>0</v>
      </c>
      <c r="F133">
        <f>Raw_Data!G133</f>
        <v>0</v>
      </c>
      <c r="G133">
        <f>Raw_Data!E133</f>
        <v>35953.870000000003</v>
      </c>
      <c r="H133">
        <f>Raw_Data!I133</f>
        <v>45289.55</v>
      </c>
      <c r="I133">
        <f>Raw_Data!J133</f>
        <v>0</v>
      </c>
      <c r="J133">
        <f t="shared" si="5"/>
        <v>2</v>
      </c>
      <c r="K133" t="str">
        <f t="shared" si="6"/>
        <v>Low Risk</v>
      </c>
    </row>
    <row r="134" spans="1:11" x14ac:dyDescent="0.35">
      <c r="A134">
        <f>Raw_Data!A134</f>
        <v>133</v>
      </c>
      <c r="B134">
        <f>Raw_Data!B134</f>
        <v>52</v>
      </c>
      <c r="C134">
        <f>Raw_Data!D134</f>
        <v>53</v>
      </c>
      <c r="D134">
        <f>Raw_Data!F134</f>
        <v>1</v>
      </c>
      <c r="E134">
        <f>Raw_Data!H134</f>
        <v>0</v>
      </c>
      <c r="F134">
        <f>Raw_Data!G134</f>
        <v>0</v>
      </c>
      <c r="G134">
        <f>Raw_Data!E134</f>
        <v>21005.94</v>
      </c>
      <c r="H134">
        <f>Raw_Data!I134</f>
        <v>126671.78</v>
      </c>
      <c r="I134">
        <f>Raw_Data!J134</f>
        <v>0</v>
      </c>
      <c r="J134">
        <f t="shared" si="5"/>
        <v>2</v>
      </c>
      <c r="K134" t="str">
        <f t="shared" si="6"/>
        <v>Low Risk</v>
      </c>
    </row>
    <row r="135" spans="1:11" x14ac:dyDescent="0.35">
      <c r="A135">
        <f>Raw_Data!A135</f>
        <v>134</v>
      </c>
      <c r="B135">
        <f>Raw_Data!B135</f>
        <v>61</v>
      </c>
      <c r="C135">
        <f>Raw_Data!D135</f>
        <v>24</v>
      </c>
      <c r="D135">
        <f>Raw_Data!F135</f>
        <v>4</v>
      </c>
      <c r="E135">
        <f>Raw_Data!H135</f>
        <v>0</v>
      </c>
      <c r="F135">
        <f>Raw_Data!G135</f>
        <v>0</v>
      </c>
      <c r="G135">
        <f>Raw_Data!E135</f>
        <v>45267.99</v>
      </c>
      <c r="H135">
        <f>Raw_Data!I135</f>
        <v>107963.8</v>
      </c>
      <c r="I135">
        <f>Raw_Data!J135</f>
        <v>0</v>
      </c>
      <c r="J135">
        <f t="shared" si="5"/>
        <v>6</v>
      </c>
      <c r="K135" t="str">
        <f t="shared" si="6"/>
        <v>High Risk</v>
      </c>
    </row>
    <row r="136" spans="1:11" x14ac:dyDescent="0.35">
      <c r="A136">
        <f>Raw_Data!A136</f>
        <v>135</v>
      </c>
      <c r="B136">
        <f>Raw_Data!B136</f>
        <v>57</v>
      </c>
      <c r="C136">
        <f>Raw_Data!D136</f>
        <v>60</v>
      </c>
      <c r="D136">
        <f>Raw_Data!F136</f>
        <v>3</v>
      </c>
      <c r="E136">
        <f>Raw_Data!H136</f>
        <v>1</v>
      </c>
      <c r="F136">
        <f>Raw_Data!G136</f>
        <v>0</v>
      </c>
      <c r="G136">
        <f>Raw_Data!E136</f>
        <v>36983.57</v>
      </c>
      <c r="H136">
        <f>Raw_Data!I136</f>
        <v>102686.15</v>
      </c>
      <c r="I136">
        <f>Raw_Data!J136</f>
        <v>0</v>
      </c>
      <c r="J136">
        <f t="shared" si="5"/>
        <v>1</v>
      </c>
      <c r="K136" t="str">
        <f t="shared" si="6"/>
        <v>Low Risk</v>
      </c>
    </row>
    <row r="137" spans="1:11" x14ac:dyDescent="0.35">
      <c r="A137">
        <f>Raw_Data!A137</f>
        <v>136</v>
      </c>
      <c r="B137">
        <f>Raw_Data!B137</f>
        <v>39</v>
      </c>
      <c r="C137">
        <f>Raw_Data!D137</f>
        <v>3</v>
      </c>
      <c r="D137">
        <f>Raw_Data!F137</f>
        <v>1</v>
      </c>
      <c r="E137">
        <f>Raw_Data!H137</f>
        <v>1</v>
      </c>
      <c r="F137">
        <f>Raw_Data!G137</f>
        <v>0</v>
      </c>
      <c r="G137">
        <f>Raw_Data!E137</f>
        <v>9563.02</v>
      </c>
      <c r="H137">
        <f>Raw_Data!I137</f>
        <v>72233.11</v>
      </c>
      <c r="I137">
        <f>Raw_Data!J137</f>
        <v>0</v>
      </c>
      <c r="J137">
        <f t="shared" si="5"/>
        <v>2</v>
      </c>
      <c r="K137" t="str">
        <f t="shared" si="6"/>
        <v>Low Risk</v>
      </c>
    </row>
    <row r="138" spans="1:11" x14ac:dyDescent="0.35">
      <c r="A138">
        <f>Raw_Data!A138</f>
        <v>137</v>
      </c>
      <c r="B138">
        <f>Raw_Data!B138</f>
        <v>44</v>
      </c>
      <c r="C138">
        <f>Raw_Data!D138</f>
        <v>20</v>
      </c>
      <c r="D138">
        <f>Raw_Data!F138</f>
        <v>2</v>
      </c>
      <c r="E138">
        <f>Raw_Data!H138</f>
        <v>1</v>
      </c>
      <c r="F138">
        <f>Raw_Data!G138</f>
        <v>1</v>
      </c>
      <c r="G138">
        <f>Raw_Data!E138</f>
        <v>30688.87</v>
      </c>
      <c r="H138">
        <f>Raw_Data!I138</f>
        <v>95117.64</v>
      </c>
      <c r="I138">
        <f>Raw_Data!J138</f>
        <v>0</v>
      </c>
      <c r="J138">
        <f t="shared" si="5"/>
        <v>0</v>
      </c>
      <c r="K138" t="str">
        <f t="shared" si="6"/>
        <v>Low Risk</v>
      </c>
    </row>
    <row r="139" spans="1:11" x14ac:dyDescent="0.35">
      <c r="A139">
        <f>Raw_Data!A139</f>
        <v>138</v>
      </c>
      <c r="B139">
        <f>Raw_Data!B139</f>
        <v>52</v>
      </c>
      <c r="C139">
        <f>Raw_Data!D139</f>
        <v>46</v>
      </c>
      <c r="D139">
        <f>Raw_Data!F139</f>
        <v>4</v>
      </c>
      <c r="E139">
        <f>Raw_Data!H139</f>
        <v>1</v>
      </c>
      <c r="F139">
        <f>Raw_Data!G139</f>
        <v>0</v>
      </c>
      <c r="G139">
        <f>Raw_Data!E139</f>
        <v>21775.27</v>
      </c>
      <c r="H139">
        <f>Raw_Data!I139</f>
        <v>60023.64</v>
      </c>
      <c r="I139">
        <f>Raw_Data!J139</f>
        <v>0</v>
      </c>
      <c r="J139">
        <f t="shared" si="5"/>
        <v>2</v>
      </c>
      <c r="K139" t="str">
        <f t="shared" si="6"/>
        <v>Low Risk</v>
      </c>
    </row>
    <row r="140" spans="1:11" x14ac:dyDescent="0.35">
      <c r="A140">
        <f>Raw_Data!A140</f>
        <v>139</v>
      </c>
      <c r="B140">
        <f>Raw_Data!B140</f>
        <v>18</v>
      </c>
      <c r="C140">
        <f>Raw_Data!D140</f>
        <v>15</v>
      </c>
      <c r="D140">
        <f>Raw_Data!F140</f>
        <v>1</v>
      </c>
      <c r="E140">
        <f>Raw_Data!H140</f>
        <v>0</v>
      </c>
      <c r="F140">
        <f>Raw_Data!G140</f>
        <v>0</v>
      </c>
      <c r="G140">
        <f>Raw_Data!E140</f>
        <v>28862.49</v>
      </c>
      <c r="H140">
        <f>Raw_Data!I140</f>
        <v>82036.009999999995</v>
      </c>
      <c r="I140">
        <f>Raw_Data!J140</f>
        <v>0</v>
      </c>
      <c r="J140">
        <f t="shared" si="5"/>
        <v>2</v>
      </c>
      <c r="K140" t="str">
        <f t="shared" si="6"/>
        <v>Low Risk</v>
      </c>
    </row>
    <row r="141" spans="1:11" x14ac:dyDescent="0.35">
      <c r="A141">
        <f>Raw_Data!A141</f>
        <v>140</v>
      </c>
      <c r="B141">
        <f>Raw_Data!B141</f>
        <v>52</v>
      </c>
      <c r="C141">
        <f>Raw_Data!D141</f>
        <v>25</v>
      </c>
      <c r="D141">
        <f>Raw_Data!F141</f>
        <v>1</v>
      </c>
      <c r="E141">
        <f>Raw_Data!H141</f>
        <v>1</v>
      </c>
      <c r="F141">
        <f>Raw_Data!G141</f>
        <v>0</v>
      </c>
      <c r="G141">
        <f>Raw_Data!E141</f>
        <v>36903.46</v>
      </c>
      <c r="H141">
        <f>Raw_Data!I141</f>
        <v>123098.19</v>
      </c>
      <c r="I141">
        <f>Raw_Data!J141</f>
        <v>0</v>
      </c>
      <c r="J141">
        <f t="shared" si="5"/>
        <v>0</v>
      </c>
      <c r="K141" t="str">
        <f t="shared" si="6"/>
        <v>Low Risk</v>
      </c>
    </row>
    <row r="142" spans="1:11" x14ac:dyDescent="0.35">
      <c r="A142">
        <f>Raw_Data!A142</f>
        <v>141</v>
      </c>
      <c r="B142">
        <f>Raw_Data!B142</f>
        <v>54</v>
      </c>
      <c r="C142">
        <f>Raw_Data!D142</f>
        <v>71</v>
      </c>
      <c r="D142">
        <f>Raw_Data!F142</f>
        <v>2</v>
      </c>
      <c r="E142">
        <f>Raw_Data!H142</f>
        <v>1</v>
      </c>
      <c r="F142">
        <f>Raw_Data!G142</f>
        <v>1</v>
      </c>
      <c r="G142">
        <f>Raw_Data!E142</f>
        <v>40309.79</v>
      </c>
      <c r="H142">
        <f>Raw_Data!I142</f>
        <v>147561.41</v>
      </c>
      <c r="I142">
        <f>Raw_Data!J142</f>
        <v>0</v>
      </c>
      <c r="J142">
        <f t="shared" si="5"/>
        <v>1</v>
      </c>
      <c r="K142" t="str">
        <f t="shared" si="6"/>
        <v>Low Risk</v>
      </c>
    </row>
    <row r="143" spans="1:11" x14ac:dyDescent="0.35">
      <c r="A143">
        <f>Raw_Data!A143</f>
        <v>142</v>
      </c>
      <c r="B143">
        <f>Raw_Data!B143</f>
        <v>64</v>
      </c>
      <c r="C143">
        <f>Raw_Data!D143</f>
        <v>17</v>
      </c>
      <c r="D143">
        <f>Raw_Data!F143</f>
        <v>2</v>
      </c>
      <c r="E143">
        <f>Raw_Data!H143</f>
        <v>1</v>
      </c>
      <c r="F143">
        <f>Raw_Data!G143</f>
        <v>1</v>
      </c>
      <c r="G143">
        <f>Raw_Data!E143</f>
        <v>42186.87</v>
      </c>
      <c r="H143">
        <f>Raw_Data!I143</f>
        <v>141223.56</v>
      </c>
      <c r="I143">
        <f>Raw_Data!J143</f>
        <v>0</v>
      </c>
      <c r="J143">
        <f t="shared" si="5"/>
        <v>2</v>
      </c>
      <c r="K143" t="str">
        <f t="shared" si="6"/>
        <v>Low Risk</v>
      </c>
    </row>
    <row r="144" spans="1:11" x14ac:dyDescent="0.35">
      <c r="A144">
        <f>Raw_Data!A144</f>
        <v>143</v>
      </c>
      <c r="B144">
        <f>Raw_Data!B144</f>
        <v>31</v>
      </c>
      <c r="C144">
        <f>Raw_Data!D144</f>
        <v>9</v>
      </c>
      <c r="D144">
        <f>Raw_Data!F144</f>
        <v>4</v>
      </c>
      <c r="E144">
        <f>Raw_Data!H144</f>
        <v>0</v>
      </c>
      <c r="F144">
        <f>Raw_Data!G144</f>
        <v>1</v>
      </c>
      <c r="G144">
        <f>Raw_Data!E144</f>
        <v>12698.74</v>
      </c>
      <c r="H144">
        <f>Raw_Data!I144</f>
        <v>141402.57</v>
      </c>
      <c r="I144">
        <f>Raw_Data!J144</f>
        <v>0</v>
      </c>
      <c r="J144">
        <f t="shared" si="5"/>
        <v>6</v>
      </c>
      <c r="K144" t="str">
        <f t="shared" si="6"/>
        <v>High Risk</v>
      </c>
    </row>
    <row r="145" spans="1:11" x14ac:dyDescent="0.35">
      <c r="A145">
        <f>Raw_Data!A145</f>
        <v>144</v>
      </c>
      <c r="B145">
        <f>Raw_Data!B145</f>
        <v>20</v>
      </c>
      <c r="C145">
        <f>Raw_Data!D145</f>
        <v>38</v>
      </c>
      <c r="D145">
        <f>Raw_Data!F145</f>
        <v>4</v>
      </c>
      <c r="E145">
        <f>Raw_Data!H145</f>
        <v>1</v>
      </c>
      <c r="F145">
        <f>Raw_Data!G145</f>
        <v>0</v>
      </c>
      <c r="G145">
        <f>Raw_Data!E145</f>
        <v>1555.78</v>
      </c>
      <c r="H145">
        <f>Raw_Data!I145</f>
        <v>72289.09</v>
      </c>
      <c r="I145">
        <f>Raw_Data!J145</f>
        <v>0</v>
      </c>
      <c r="J145">
        <f t="shared" si="5"/>
        <v>2</v>
      </c>
      <c r="K145" t="str">
        <f t="shared" si="6"/>
        <v>Low Risk</v>
      </c>
    </row>
    <row r="146" spans="1:11" x14ac:dyDescent="0.35">
      <c r="A146">
        <f>Raw_Data!A146</f>
        <v>145</v>
      </c>
      <c r="B146">
        <f>Raw_Data!B146</f>
        <v>18</v>
      </c>
      <c r="C146">
        <f>Raw_Data!D146</f>
        <v>48</v>
      </c>
      <c r="D146">
        <f>Raw_Data!F146</f>
        <v>2</v>
      </c>
      <c r="E146">
        <f>Raw_Data!H146</f>
        <v>1</v>
      </c>
      <c r="F146">
        <f>Raw_Data!G146</f>
        <v>1</v>
      </c>
      <c r="G146">
        <f>Raw_Data!E146</f>
        <v>36964.74</v>
      </c>
      <c r="H146">
        <f>Raw_Data!I146</f>
        <v>80942.679999999993</v>
      </c>
      <c r="I146">
        <f>Raw_Data!J146</f>
        <v>0</v>
      </c>
      <c r="J146">
        <f t="shared" si="5"/>
        <v>0</v>
      </c>
      <c r="K146" t="str">
        <f t="shared" si="6"/>
        <v>Low Risk</v>
      </c>
    </row>
    <row r="147" spans="1:11" x14ac:dyDescent="0.35">
      <c r="A147">
        <f>Raw_Data!A147</f>
        <v>146</v>
      </c>
      <c r="B147">
        <f>Raw_Data!B147</f>
        <v>22</v>
      </c>
      <c r="C147">
        <f>Raw_Data!D147</f>
        <v>60</v>
      </c>
      <c r="D147">
        <f>Raw_Data!F147</f>
        <v>4</v>
      </c>
      <c r="E147">
        <f>Raw_Data!H147</f>
        <v>0</v>
      </c>
      <c r="F147">
        <f>Raw_Data!G147</f>
        <v>1</v>
      </c>
      <c r="G147">
        <f>Raw_Data!E147</f>
        <v>5317.19</v>
      </c>
      <c r="H147">
        <f>Raw_Data!I147</f>
        <v>111732.6</v>
      </c>
      <c r="I147">
        <f>Raw_Data!J147</f>
        <v>0</v>
      </c>
      <c r="J147">
        <f t="shared" si="5"/>
        <v>4</v>
      </c>
      <c r="K147" t="str">
        <f t="shared" si="6"/>
        <v>Medium Risk</v>
      </c>
    </row>
    <row r="148" spans="1:11" x14ac:dyDescent="0.35">
      <c r="A148">
        <f>Raw_Data!A148</f>
        <v>147</v>
      </c>
      <c r="B148">
        <f>Raw_Data!B148</f>
        <v>43</v>
      </c>
      <c r="C148">
        <f>Raw_Data!D148</f>
        <v>63</v>
      </c>
      <c r="D148">
        <f>Raw_Data!F148</f>
        <v>2</v>
      </c>
      <c r="E148">
        <f>Raw_Data!H148</f>
        <v>1</v>
      </c>
      <c r="F148">
        <f>Raw_Data!G148</f>
        <v>1</v>
      </c>
      <c r="G148">
        <f>Raw_Data!E148</f>
        <v>15745.98</v>
      </c>
      <c r="H148">
        <f>Raw_Data!I148</f>
        <v>139884.95000000001</v>
      </c>
      <c r="I148">
        <f>Raw_Data!J148</f>
        <v>0</v>
      </c>
      <c r="J148">
        <f t="shared" si="5"/>
        <v>0</v>
      </c>
      <c r="K148" t="str">
        <f t="shared" si="6"/>
        <v>Low Risk</v>
      </c>
    </row>
    <row r="149" spans="1:11" x14ac:dyDescent="0.35">
      <c r="A149">
        <f>Raw_Data!A149</f>
        <v>148</v>
      </c>
      <c r="B149">
        <f>Raw_Data!B149</f>
        <v>31</v>
      </c>
      <c r="C149">
        <f>Raw_Data!D149</f>
        <v>2</v>
      </c>
      <c r="D149">
        <f>Raw_Data!F149</f>
        <v>1</v>
      </c>
      <c r="E149">
        <f>Raw_Data!H149</f>
        <v>1</v>
      </c>
      <c r="F149">
        <f>Raw_Data!G149</f>
        <v>0</v>
      </c>
      <c r="G149">
        <f>Raw_Data!E149</f>
        <v>190.86</v>
      </c>
      <c r="H149">
        <f>Raw_Data!I149</f>
        <v>38459.25</v>
      </c>
      <c r="I149">
        <f>Raw_Data!J149</f>
        <v>0</v>
      </c>
      <c r="J149">
        <f t="shared" si="5"/>
        <v>2</v>
      </c>
      <c r="K149" t="str">
        <f t="shared" si="6"/>
        <v>Low Risk</v>
      </c>
    </row>
    <row r="150" spans="1:11" x14ac:dyDescent="0.35">
      <c r="A150">
        <f>Raw_Data!A150</f>
        <v>149</v>
      </c>
      <c r="B150">
        <f>Raw_Data!B150</f>
        <v>56</v>
      </c>
      <c r="C150">
        <f>Raw_Data!D150</f>
        <v>11</v>
      </c>
      <c r="D150">
        <f>Raw_Data!F150</f>
        <v>2</v>
      </c>
      <c r="E150">
        <f>Raw_Data!H150</f>
        <v>0</v>
      </c>
      <c r="F150">
        <f>Raw_Data!G150</f>
        <v>1</v>
      </c>
      <c r="G150">
        <f>Raw_Data!E150</f>
        <v>34083.47</v>
      </c>
      <c r="H150">
        <f>Raw_Data!I150</f>
        <v>59551.44</v>
      </c>
      <c r="I150">
        <f>Raw_Data!J150</f>
        <v>0</v>
      </c>
      <c r="J150">
        <f t="shared" si="5"/>
        <v>5</v>
      </c>
      <c r="K150" t="str">
        <f t="shared" si="6"/>
        <v>High Risk</v>
      </c>
    </row>
    <row r="151" spans="1:11" x14ac:dyDescent="0.35">
      <c r="A151">
        <f>Raw_Data!A151</f>
        <v>150</v>
      </c>
      <c r="B151">
        <f>Raw_Data!B151</f>
        <v>44</v>
      </c>
      <c r="C151">
        <f>Raw_Data!D151</f>
        <v>64</v>
      </c>
      <c r="D151">
        <f>Raw_Data!F151</f>
        <v>2</v>
      </c>
      <c r="E151">
        <f>Raw_Data!H151</f>
        <v>1</v>
      </c>
      <c r="F151">
        <f>Raw_Data!G151</f>
        <v>0</v>
      </c>
      <c r="G151">
        <f>Raw_Data!E151</f>
        <v>8356.6</v>
      </c>
      <c r="H151">
        <f>Raw_Data!I151</f>
        <v>38102.089999999997</v>
      </c>
      <c r="I151">
        <f>Raw_Data!J151</f>
        <v>0</v>
      </c>
      <c r="J151">
        <f t="shared" si="5"/>
        <v>0</v>
      </c>
      <c r="K151" t="str">
        <f t="shared" si="6"/>
        <v>Low Risk</v>
      </c>
    </row>
    <row r="152" spans="1:11" x14ac:dyDescent="0.35">
      <c r="A152">
        <f>Raw_Data!A152</f>
        <v>151</v>
      </c>
      <c r="B152">
        <f>Raw_Data!B152</f>
        <v>26</v>
      </c>
      <c r="C152">
        <f>Raw_Data!D152</f>
        <v>21</v>
      </c>
      <c r="D152">
        <f>Raw_Data!F152</f>
        <v>3</v>
      </c>
      <c r="E152">
        <f>Raw_Data!H152</f>
        <v>1</v>
      </c>
      <c r="F152">
        <f>Raw_Data!G152</f>
        <v>0</v>
      </c>
      <c r="G152">
        <f>Raw_Data!E152</f>
        <v>32764.12</v>
      </c>
      <c r="H152">
        <f>Raw_Data!I152</f>
        <v>99561.11</v>
      </c>
      <c r="I152">
        <f>Raw_Data!J152</f>
        <v>0</v>
      </c>
      <c r="J152">
        <f t="shared" si="5"/>
        <v>0</v>
      </c>
      <c r="K152" t="str">
        <f t="shared" si="6"/>
        <v>Low Risk</v>
      </c>
    </row>
    <row r="153" spans="1:11" x14ac:dyDescent="0.35">
      <c r="A153">
        <f>Raw_Data!A153</f>
        <v>152</v>
      </c>
      <c r="B153">
        <f>Raw_Data!B153</f>
        <v>32</v>
      </c>
      <c r="C153">
        <f>Raw_Data!D153</f>
        <v>18</v>
      </c>
      <c r="D153">
        <f>Raw_Data!F153</f>
        <v>2</v>
      </c>
      <c r="E153">
        <f>Raw_Data!H153</f>
        <v>1</v>
      </c>
      <c r="F153">
        <f>Raw_Data!G153</f>
        <v>1</v>
      </c>
      <c r="G153">
        <f>Raw_Data!E153</f>
        <v>49587.13</v>
      </c>
      <c r="H153">
        <f>Raw_Data!I153</f>
        <v>59819.13</v>
      </c>
      <c r="I153">
        <f>Raw_Data!J153</f>
        <v>0</v>
      </c>
      <c r="J153">
        <f t="shared" si="5"/>
        <v>1</v>
      </c>
      <c r="K153" t="str">
        <f t="shared" si="6"/>
        <v>Low Risk</v>
      </c>
    </row>
    <row r="154" spans="1:11" x14ac:dyDescent="0.35">
      <c r="A154">
        <f>Raw_Data!A154</f>
        <v>153</v>
      </c>
      <c r="B154">
        <f>Raw_Data!B154</f>
        <v>32</v>
      </c>
      <c r="C154">
        <f>Raw_Data!D154</f>
        <v>64</v>
      </c>
      <c r="D154">
        <f>Raw_Data!F154</f>
        <v>2</v>
      </c>
      <c r="E154">
        <f>Raw_Data!H154</f>
        <v>0</v>
      </c>
      <c r="F154">
        <f>Raw_Data!G154</f>
        <v>0</v>
      </c>
      <c r="G154">
        <f>Raw_Data!E154</f>
        <v>3633.54</v>
      </c>
      <c r="H154">
        <f>Raw_Data!I154</f>
        <v>62394.02</v>
      </c>
      <c r="I154">
        <f>Raw_Data!J154</f>
        <v>0</v>
      </c>
      <c r="J154">
        <f t="shared" si="5"/>
        <v>2</v>
      </c>
      <c r="K154" t="str">
        <f t="shared" si="6"/>
        <v>Low Risk</v>
      </c>
    </row>
    <row r="155" spans="1:11" x14ac:dyDescent="0.35">
      <c r="A155">
        <f>Raw_Data!A155</f>
        <v>154</v>
      </c>
      <c r="B155">
        <f>Raw_Data!B155</f>
        <v>43</v>
      </c>
      <c r="C155">
        <f>Raw_Data!D155</f>
        <v>38</v>
      </c>
      <c r="D155">
        <f>Raw_Data!F155</f>
        <v>3</v>
      </c>
      <c r="E155">
        <f>Raw_Data!H155</f>
        <v>1</v>
      </c>
      <c r="F155">
        <f>Raw_Data!G155</f>
        <v>1</v>
      </c>
      <c r="G155">
        <f>Raw_Data!E155</f>
        <v>3853.9</v>
      </c>
      <c r="H155">
        <f>Raw_Data!I155</f>
        <v>29219.07</v>
      </c>
      <c r="I155">
        <f>Raw_Data!J155</f>
        <v>0</v>
      </c>
      <c r="J155">
        <f t="shared" si="5"/>
        <v>0</v>
      </c>
      <c r="K155" t="str">
        <f t="shared" si="6"/>
        <v>Low Risk</v>
      </c>
    </row>
    <row r="156" spans="1:11" x14ac:dyDescent="0.35">
      <c r="A156">
        <f>Raw_Data!A156</f>
        <v>155</v>
      </c>
      <c r="B156">
        <f>Raw_Data!B156</f>
        <v>59</v>
      </c>
      <c r="C156">
        <f>Raw_Data!D156</f>
        <v>32</v>
      </c>
      <c r="D156">
        <f>Raw_Data!F156</f>
        <v>4</v>
      </c>
      <c r="E156">
        <f>Raw_Data!H156</f>
        <v>1</v>
      </c>
      <c r="F156">
        <f>Raw_Data!G156</f>
        <v>0</v>
      </c>
      <c r="G156">
        <f>Raw_Data!E156</f>
        <v>17019</v>
      </c>
      <c r="H156">
        <f>Raw_Data!I156</f>
        <v>65473.49</v>
      </c>
      <c r="I156">
        <f>Raw_Data!J156</f>
        <v>0</v>
      </c>
      <c r="J156">
        <f t="shared" si="5"/>
        <v>3</v>
      </c>
      <c r="K156" t="str">
        <f t="shared" si="6"/>
        <v>Medium Risk</v>
      </c>
    </row>
    <row r="157" spans="1:11" x14ac:dyDescent="0.35">
      <c r="A157">
        <f>Raw_Data!A157</f>
        <v>156</v>
      </c>
      <c r="B157">
        <f>Raw_Data!B157</f>
        <v>30</v>
      </c>
      <c r="C157">
        <f>Raw_Data!D157</f>
        <v>11</v>
      </c>
      <c r="D157">
        <f>Raw_Data!F157</f>
        <v>3</v>
      </c>
      <c r="E157">
        <f>Raw_Data!H157</f>
        <v>0</v>
      </c>
      <c r="F157">
        <f>Raw_Data!G157</f>
        <v>1</v>
      </c>
      <c r="G157">
        <f>Raw_Data!E157</f>
        <v>43319.33</v>
      </c>
      <c r="H157">
        <f>Raw_Data!I157</f>
        <v>132124.54999999999</v>
      </c>
      <c r="I157">
        <f>Raw_Data!J157</f>
        <v>0</v>
      </c>
      <c r="J157">
        <f t="shared" si="5"/>
        <v>5</v>
      </c>
      <c r="K157" t="str">
        <f t="shared" si="6"/>
        <v>High Risk</v>
      </c>
    </row>
    <row r="158" spans="1:11" x14ac:dyDescent="0.35">
      <c r="A158">
        <f>Raw_Data!A158</f>
        <v>157</v>
      </c>
      <c r="B158">
        <f>Raw_Data!B158</f>
        <v>68</v>
      </c>
      <c r="C158">
        <f>Raw_Data!D158</f>
        <v>45</v>
      </c>
      <c r="D158">
        <f>Raw_Data!F158</f>
        <v>1</v>
      </c>
      <c r="E158">
        <f>Raw_Data!H158</f>
        <v>0</v>
      </c>
      <c r="F158">
        <f>Raw_Data!G158</f>
        <v>1</v>
      </c>
      <c r="G158">
        <f>Raw_Data!E158</f>
        <v>10776.49</v>
      </c>
      <c r="H158">
        <f>Raw_Data!I158</f>
        <v>50299.47</v>
      </c>
      <c r="I158">
        <f>Raw_Data!J158</f>
        <v>0</v>
      </c>
      <c r="J158">
        <f t="shared" si="5"/>
        <v>3</v>
      </c>
      <c r="K158" t="str">
        <f t="shared" si="6"/>
        <v>Medium Risk</v>
      </c>
    </row>
    <row r="159" spans="1:11" x14ac:dyDescent="0.35">
      <c r="A159">
        <f>Raw_Data!A159</f>
        <v>158</v>
      </c>
      <c r="B159">
        <f>Raw_Data!B159</f>
        <v>49</v>
      </c>
      <c r="C159">
        <f>Raw_Data!D159</f>
        <v>33</v>
      </c>
      <c r="D159">
        <f>Raw_Data!F159</f>
        <v>3</v>
      </c>
      <c r="E159">
        <f>Raw_Data!H159</f>
        <v>1</v>
      </c>
      <c r="F159">
        <f>Raw_Data!G159</f>
        <v>1</v>
      </c>
      <c r="G159">
        <f>Raw_Data!E159</f>
        <v>18018.89</v>
      </c>
      <c r="H159">
        <f>Raw_Data!I159</f>
        <v>110374.37</v>
      </c>
      <c r="I159">
        <f>Raw_Data!J159</f>
        <v>0</v>
      </c>
      <c r="J159">
        <f t="shared" si="5"/>
        <v>0</v>
      </c>
      <c r="K159" t="str">
        <f t="shared" si="6"/>
        <v>Low Risk</v>
      </c>
    </row>
    <row r="160" spans="1:11" x14ac:dyDescent="0.35">
      <c r="A160">
        <f>Raw_Data!A160</f>
        <v>159</v>
      </c>
      <c r="B160">
        <f>Raw_Data!B160</f>
        <v>56</v>
      </c>
      <c r="C160">
        <f>Raw_Data!D160</f>
        <v>41</v>
      </c>
      <c r="D160">
        <f>Raw_Data!F160</f>
        <v>1</v>
      </c>
      <c r="E160">
        <f>Raw_Data!H160</f>
        <v>1</v>
      </c>
      <c r="F160">
        <f>Raw_Data!G160</f>
        <v>0</v>
      </c>
      <c r="G160">
        <f>Raw_Data!E160</f>
        <v>3425.27</v>
      </c>
      <c r="H160">
        <f>Raw_Data!I160</f>
        <v>101851.68</v>
      </c>
      <c r="I160">
        <f>Raw_Data!J160</f>
        <v>0</v>
      </c>
      <c r="J160">
        <f t="shared" si="5"/>
        <v>1</v>
      </c>
      <c r="K160" t="str">
        <f t="shared" si="6"/>
        <v>Low Risk</v>
      </c>
    </row>
    <row r="161" spans="1:11" x14ac:dyDescent="0.35">
      <c r="A161">
        <f>Raw_Data!A161</f>
        <v>160</v>
      </c>
      <c r="B161">
        <f>Raw_Data!B161</f>
        <v>66</v>
      </c>
      <c r="C161">
        <f>Raw_Data!D161</f>
        <v>8</v>
      </c>
      <c r="D161">
        <f>Raw_Data!F161</f>
        <v>4</v>
      </c>
      <c r="E161">
        <f>Raw_Data!H161</f>
        <v>1</v>
      </c>
      <c r="F161">
        <f>Raw_Data!G161</f>
        <v>1</v>
      </c>
      <c r="G161">
        <f>Raw_Data!E161</f>
        <v>38157.760000000002</v>
      </c>
      <c r="H161">
        <f>Raw_Data!I161</f>
        <v>132253</v>
      </c>
      <c r="I161">
        <f>Raw_Data!J161</f>
        <v>0</v>
      </c>
      <c r="J161">
        <f t="shared" si="5"/>
        <v>5</v>
      </c>
      <c r="K161" t="str">
        <f t="shared" si="6"/>
        <v>High Risk</v>
      </c>
    </row>
    <row r="162" spans="1:11" x14ac:dyDescent="0.35">
      <c r="A162">
        <f>Raw_Data!A162</f>
        <v>161</v>
      </c>
      <c r="B162">
        <f>Raw_Data!B162</f>
        <v>69</v>
      </c>
      <c r="C162">
        <f>Raw_Data!D162</f>
        <v>11</v>
      </c>
      <c r="D162">
        <f>Raw_Data!F162</f>
        <v>3</v>
      </c>
      <c r="E162">
        <f>Raw_Data!H162</f>
        <v>1</v>
      </c>
      <c r="F162">
        <f>Raw_Data!G162</f>
        <v>0</v>
      </c>
      <c r="G162">
        <f>Raw_Data!E162</f>
        <v>20415.32</v>
      </c>
      <c r="H162">
        <f>Raw_Data!I162</f>
        <v>37197.43</v>
      </c>
      <c r="I162">
        <f>Raw_Data!J162</f>
        <v>0</v>
      </c>
      <c r="J162">
        <f t="shared" si="5"/>
        <v>3</v>
      </c>
      <c r="K162" t="str">
        <f t="shared" si="6"/>
        <v>Medium Risk</v>
      </c>
    </row>
    <row r="163" spans="1:11" x14ac:dyDescent="0.35">
      <c r="A163">
        <f>Raw_Data!A163</f>
        <v>162</v>
      </c>
      <c r="B163">
        <f>Raw_Data!B163</f>
        <v>49</v>
      </c>
      <c r="C163">
        <f>Raw_Data!D163</f>
        <v>51</v>
      </c>
      <c r="D163">
        <f>Raw_Data!F163</f>
        <v>3</v>
      </c>
      <c r="E163">
        <f>Raw_Data!H163</f>
        <v>0</v>
      </c>
      <c r="F163">
        <f>Raw_Data!G163</f>
        <v>1</v>
      </c>
      <c r="G163">
        <f>Raw_Data!E163</f>
        <v>37962.44</v>
      </c>
      <c r="H163">
        <f>Raw_Data!I163</f>
        <v>147086.69</v>
      </c>
      <c r="I163">
        <f>Raw_Data!J163</f>
        <v>0</v>
      </c>
      <c r="J163">
        <f t="shared" si="5"/>
        <v>2</v>
      </c>
      <c r="K163" t="str">
        <f t="shared" si="6"/>
        <v>Low Risk</v>
      </c>
    </row>
    <row r="164" spans="1:11" x14ac:dyDescent="0.35">
      <c r="A164">
        <f>Raw_Data!A164</f>
        <v>163</v>
      </c>
      <c r="B164">
        <f>Raw_Data!B164</f>
        <v>21</v>
      </c>
      <c r="C164">
        <f>Raw_Data!D164</f>
        <v>41</v>
      </c>
      <c r="D164">
        <f>Raw_Data!F164</f>
        <v>4</v>
      </c>
      <c r="E164">
        <f>Raw_Data!H164</f>
        <v>1</v>
      </c>
      <c r="F164">
        <f>Raw_Data!G164</f>
        <v>0</v>
      </c>
      <c r="G164">
        <f>Raw_Data!E164</f>
        <v>45180.39</v>
      </c>
      <c r="H164">
        <f>Raw_Data!I164</f>
        <v>95741.72</v>
      </c>
      <c r="I164">
        <f>Raw_Data!J164</f>
        <v>0</v>
      </c>
      <c r="J164">
        <f t="shared" si="5"/>
        <v>3</v>
      </c>
      <c r="K164" t="str">
        <f t="shared" si="6"/>
        <v>Medium Risk</v>
      </c>
    </row>
    <row r="165" spans="1:11" x14ac:dyDescent="0.35">
      <c r="A165">
        <f>Raw_Data!A165</f>
        <v>164</v>
      </c>
      <c r="B165">
        <f>Raw_Data!B165</f>
        <v>47</v>
      </c>
      <c r="C165">
        <f>Raw_Data!D165</f>
        <v>17</v>
      </c>
      <c r="D165">
        <f>Raw_Data!F165</f>
        <v>1</v>
      </c>
      <c r="E165">
        <f>Raw_Data!H165</f>
        <v>0</v>
      </c>
      <c r="F165">
        <f>Raw_Data!G165</f>
        <v>0</v>
      </c>
      <c r="G165">
        <f>Raw_Data!E165</f>
        <v>11638.16</v>
      </c>
      <c r="H165">
        <f>Raw_Data!I165</f>
        <v>149411.64000000001</v>
      </c>
      <c r="I165">
        <f>Raw_Data!J165</f>
        <v>0</v>
      </c>
      <c r="J165">
        <f t="shared" si="5"/>
        <v>2</v>
      </c>
      <c r="K165" t="str">
        <f t="shared" si="6"/>
        <v>Low Risk</v>
      </c>
    </row>
    <row r="166" spans="1:11" x14ac:dyDescent="0.35">
      <c r="A166">
        <f>Raw_Data!A166</f>
        <v>165</v>
      </c>
      <c r="B166">
        <f>Raw_Data!B166</f>
        <v>54</v>
      </c>
      <c r="C166">
        <f>Raw_Data!D166</f>
        <v>46</v>
      </c>
      <c r="D166">
        <f>Raw_Data!F166</f>
        <v>3</v>
      </c>
      <c r="E166">
        <f>Raw_Data!H166</f>
        <v>0</v>
      </c>
      <c r="F166">
        <f>Raw_Data!G166</f>
        <v>1</v>
      </c>
      <c r="G166">
        <f>Raw_Data!E166</f>
        <v>40369.800000000003</v>
      </c>
      <c r="H166">
        <f>Raw_Data!I166</f>
        <v>138496.91</v>
      </c>
      <c r="I166">
        <f>Raw_Data!J166</f>
        <v>0</v>
      </c>
      <c r="J166">
        <f t="shared" si="5"/>
        <v>3</v>
      </c>
      <c r="K166" t="str">
        <f t="shared" si="6"/>
        <v>Medium Risk</v>
      </c>
    </row>
    <row r="167" spans="1:11" x14ac:dyDescent="0.35">
      <c r="A167">
        <f>Raw_Data!A167</f>
        <v>166</v>
      </c>
      <c r="B167">
        <f>Raw_Data!B167</f>
        <v>40</v>
      </c>
      <c r="C167">
        <f>Raw_Data!D167</f>
        <v>32</v>
      </c>
      <c r="D167">
        <f>Raw_Data!F167</f>
        <v>1</v>
      </c>
      <c r="E167">
        <f>Raw_Data!H167</f>
        <v>1</v>
      </c>
      <c r="F167">
        <f>Raw_Data!G167</f>
        <v>1</v>
      </c>
      <c r="G167">
        <f>Raw_Data!E167</f>
        <v>2954.69</v>
      </c>
      <c r="H167">
        <f>Raw_Data!I167</f>
        <v>48797.25</v>
      </c>
      <c r="I167">
        <f>Raw_Data!J167</f>
        <v>0</v>
      </c>
      <c r="J167">
        <f t="shared" si="5"/>
        <v>0</v>
      </c>
      <c r="K167" t="str">
        <f t="shared" si="6"/>
        <v>Low Risk</v>
      </c>
    </row>
    <row r="168" spans="1:11" x14ac:dyDescent="0.35">
      <c r="A168">
        <f>Raw_Data!A168</f>
        <v>167</v>
      </c>
      <c r="B168">
        <f>Raw_Data!B168</f>
        <v>56</v>
      </c>
      <c r="C168">
        <f>Raw_Data!D168</f>
        <v>54</v>
      </c>
      <c r="D168">
        <f>Raw_Data!F168</f>
        <v>3</v>
      </c>
      <c r="E168">
        <f>Raw_Data!H168</f>
        <v>1</v>
      </c>
      <c r="F168">
        <f>Raw_Data!G168</f>
        <v>1</v>
      </c>
      <c r="G168">
        <f>Raw_Data!E168</f>
        <v>44942.37</v>
      </c>
      <c r="H168">
        <f>Raw_Data!I168</f>
        <v>27301.06</v>
      </c>
      <c r="I168">
        <f>Raw_Data!J168</f>
        <v>0</v>
      </c>
      <c r="J168">
        <f t="shared" si="5"/>
        <v>2</v>
      </c>
      <c r="K168" t="str">
        <f t="shared" si="6"/>
        <v>Low Risk</v>
      </c>
    </row>
    <row r="169" spans="1:11" x14ac:dyDescent="0.35">
      <c r="A169">
        <f>Raw_Data!A169</f>
        <v>168</v>
      </c>
      <c r="B169">
        <f>Raw_Data!B169</f>
        <v>62</v>
      </c>
      <c r="C169">
        <f>Raw_Data!D169</f>
        <v>20</v>
      </c>
      <c r="D169">
        <f>Raw_Data!F169</f>
        <v>2</v>
      </c>
      <c r="E169">
        <f>Raw_Data!H169</f>
        <v>0</v>
      </c>
      <c r="F169">
        <f>Raw_Data!G169</f>
        <v>1</v>
      </c>
      <c r="G169">
        <f>Raw_Data!E169</f>
        <v>32538.43</v>
      </c>
      <c r="H169">
        <f>Raw_Data!I169</f>
        <v>53233.08</v>
      </c>
      <c r="I169">
        <f>Raw_Data!J169</f>
        <v>0</v>
      </c>
      <c r="J169">
        <f t="shared" si="5"/>
        <v>3</v>
      </c>
      <c r="K169" t="str">
        <f t="shared" si="6"/>
        <v>Medium Risk</v>
      </c>
    </row>
    <row r="170" spans="1:11" x14ac:dyDescent="0.35">
      <c r="A170">
        <f>Raw_Data!A170</f>
        <v>169</v>
      </c>
      <c r="B170">
        <f>Raw_Data!B170</f>
        <v>32</v>
      </c>
      <c r="C170">
        <f>Raw_Data!D170</f>
        <v>33</v>
      </c>
      <c r="D170">
        <f>Raw_Data!F170</f>
        <v>3</v>
      </c>
      <c r="E170">
        <f>Raw_Data!H170</f>
        <v>0</v>
      </c>
      <c r="F170">
        <f>Raw_Data!G170</f>
        <v>1</v>
      </c>
      <c r="G170">
        <f>Raw_Data!E170</f>
        <v>43711.34</v>
      </c>
      <c r="H170">
        <f>Raw_Data!I170</f>
        <v>88583.27</v>
      </c>
      <c r="I170">
        <f>Raw_Data!J170</f>
        <v>0</v>
      </c>
      <c r="J170">
        <f t="shared" si="5"/>
        <v>3</v>
      </c>
      <c r="K170" t="str">
        <f t="shared" si="6"/>
        <v>Medium Risk</v>
      </c>
    </row>
    <row r="171" spans="1:11" x14ac:dyDescent="0.35">
      <c r="A171">
        <f>Raw_Data!A171</f>
        <v>170</v>
      </c>
      <c r="B171">
        <f>Raw_Data!B171</f>
        <v>60</v>
      </c>
      <c r="C171">
        <f>Raw_Data!D171</f>
        <v>40</v>
      </c>
      <c r="D171">
        <f>Raw_Data!F171</f>
        <v>4</v>
      </c>
      <c r="E171">
        <f>Raw_Data!H171</f>
        <v>1</v>
      </c>
      <c r="F171">
        <f>Raw_Data!G171</f>
        <v>0</v>
      </c>
      <c r="G171">
        <f>Raw_Data!E171</f>
        <v>9.42</v>
      </c>
      <c r="H171">
        <f>Raw_Data!I171</f>
        <v>42307.53</v>
      </c>
      <c r="I171">
        <f>Raw_Data!J171</f>
        <v>0</v>
      </c>
      <c r="J171">
        <f t="shared" si="5"/>
        <v>3</v>
      </c>
      <c r="K171" t="str">
        <f t="shared" si="6"/>
        <v>Medium Risk</v>
      </c>
    </row>
    <row r="172" spans="1:11" x14ac:dyDescent="0.35">
      <c r="A172">
        <f>Raw_Data!A172</f>
        <v>171</v>
      </c>
      <c r="B172">
        <f>Raw_Data!B172</f>
        <v>46</v>
      </c>
      <c r="C172">
        <f>Raw_Data!D172</f>
        <v>32</v>
      </c>
      <c r="D172">
        <f>Raw_Data!F172</f>
        <v>4</v>
      </c>
      <c r="E172">
        <f>Raw_Data!H172</f>
        <v>0</v>
      </c>
      <c r="F172">
        <f>Raw_Data!G172</f>
        <v>1</v>
      </c>
      <c r="G172">
        <f>Raw_Data!E172</f>
        <v>8454.0499999999993</v>
      </c>
      <c r="H172">
        <f>Raw_Data!I172</f>
        <v>41769.769999999997</v>
      </c>
      <c r="I172">
        <f>Raw_Data!J172</f>
        <v>0</v>
      </c>
      <c r="J172">
        <f t="shared" si="5"/>
        <v>4</v>
      </c>
      <c r="K172" t="str">
        <f t="shared" si="6"/>
        <v>Medium Risk</v>
      </c>
    </row>
    <row r="173" spans="1:11" x14ac:dyDescent="0.35">
      <c r="A173">
        <f>Raw_Data!A173</f>
        <v>172</v>
      </c>
      <c r="B173">
        <f>Raw_Data!B173</f>
        <v>53</v>
      </c>
      <c r="C173">
        <f>Raw_Data!D173</f>
        <v>2</v>
      </c>
      <c r="D173">
        <f>Raw_Data!F173</f>
        <v>1</v>
      </c>
      <c r="E173">
        <f>Raw_Data!H173</f>
        <v>1</v>
      </c>
      <c r="F173">
        <f>Raw_Data!G173</f>
        <v>1</v>
      </c>
      <c r="G173">
        <f>Raw_Data!E173</f>
        <v>19487.97</v>
      </c>
      <c r="H173">
        <f>Raw_Data!I173</f>
        <v>80137.16</v>
      </c>
      <c r="I173">
        <f>Raw_Data!J173</f>
        <v>0</v>
      </c>
      <c r="J173">
        <f t="shared" si="5"/>
        <v>2</v>
      </c>
      <c r="K173" t="str">
        <f t="shared" si="6"/>
        <v>Low Risk</v>
      </c>
    </row>
    <row r="174" spans="1:11" x14ac:dyDescent="0.35">
      <c r="A174">
        <f>Raw_Data!A174</f>
        <v>173</v>
      </c>
      <c r="B174">
        <f>Raw_Data!B174</f>
        <v>30</v>
      </c>
      <c r="C174">
        <f>Raw_Data!D174</f>
        <v>33</v>
      </c>
      <c r="D174">
        <f>Raw_Data!F174</f>
        <v>3</v>
      </c>
      <c r="E174">
        <f>Raw_Data!H174</f>
        <v>1</v>
      </c>
      <c r="F174">
        <f>Raw_Data!G174</f>
        <v>0</v>
      </c>
      <c r="G174">
        <f>Raw_Data!E174</f>
        <v>18975.150000000001</v>
      </c>
      <c r="H174">
        <f>Raw_Data!I174</f>
        <v>24324.84</v>
      </c>
      <c r="I174">
        <f>Raw_Data!J174</f>
        <v>0</v>
      </c>
      <c r="J174">
        <f t="shared" si="5"/>
        <v>0</v>
      </c>
      <c r="K174" t="str">
        <f t="shared" si="6"/>
        <v>Low Risk</v>
      </c>
    </row>
    <row r="175" spans="1:11" x14ac:dyDescent="0.35">
      <c r="A175">
        <f>Raw_Data!A175</f>
        <v>174</v>
      </c>
      <c r="B175">
        <f>Raw_Data!B175</f>
        <v>49</v>
      </c>
      <c r="C175">
        <f>Raw_Data!D175</f>
        <v>30</v>
      </c>
      <c r="D175">
        <f>Raw_Data!F175</f>
        <v>1</v>
      </c>
      <c r="E175">
        <f>Raw_Data!H175</f>
        <v>0</v>
      </c>
      <c r="F175">
        <f>Raw_Data!G175</f>
        <v>1</v>
      </c>
      <c r="G175">
        <f>Raw_Data!E175</f>
        <v>11336.52</v>
      </c>
      <c r="H175">
        <f>Raw_Data!I175</f>
        <v>35845.449999999997</v>
      </c>
      <c r="I175">
        <f>Raw_Data!J175</f>
        <v>0</v>
      </c>
      <c r="J175">
        <f t="shared" si="5"/>
        <v>2</v>
      </c>
      <c r="K175" t="str">
        <f t="shared" si="6"/>
        <v>Low Risk</v>
      </c>
    </row>
    <row r="176" spans="1:11" x14ac:dyDescent="0.35">
      <c r="A176">
        <f>Raw_Data!A176</f>
        <v>175</v>
      </c>
      <c r="B176">
        <f>Raw_Data!B176</f>
        <v>24</v>
      </c>
      <c r="C176">
        <f>Raw_Data!D176</f>
        <v>33</v>
      </c>
      <c r="D176">
        <f>Raw_Data!F176</f>
        <v>1</v>
      </c>
      <c r="E176">
        <f>Raw_Data!H176</f>
        <v>0</v>
      </c>
      <c r="F176">
        <f>Raw_Data!G176</f>
        <v>1</v>
      </c>
      <c r="G176">
        <f>Raw_Data!E176</f>
        <v>19080.599999999999</v>
      </c>
      <c r="H176">
        <f>Raw_Data!I176</f>
        <v>74061.97</v>
      </c>
      <c r="I176">
        <f>Raw_Data!J176</f>
        <v>0</v>
      </c>
      <c r="J176">
        <f t="shared" si="5"/>
        <v>2</v>
      </c>
      <c r="K176" t="str">
        <f t="shared" si="6"/>
        <v>Low Risk</v>
      </c>
    </row>
    <row r="177" spans="1:11" x14ac:dyDescent="0.35">
      <c r="A177">
        <f>Raw_Data!A177</f>
        <v>176</v>
      </c>
      <c r="B177">
        <f>Raw_Data!B177</f>
        <v>68</v>
      </c>
      <c r="C177">
        <f>Raw_Data!D177</f>
        <v>26</v>
      </c>
      <c r="D177">
        <f>Raw_Data!F177</f>
        <v>2</v>
      </c>
      <c r="E177">
        <f>Raw_Data!H177</f>
        <v>1</v>
      </c>
      <c r="F177">
        <f>Raw_Data!G177</f>
        <v>0</v>
      </c>
      <c r="G177">
        <f>Raw_Data!E177</f>
        <v>6442.44</v>
      </c>
      <c r="H177">
        <f>Raw_Data!I177</f>
        <v>28206.89</v>
      </c>
      <c r="I177">
        <f>Raw_Data!J177</f>
        <v>0</v>
      </c>
      <c r="J177">
        <f t="shared" si="5"/>
        <v>1</v>
      </c>
      <c r="K177" t="str">
        <f t="shared" si="6"/>
        <v>Low Risk</v>
      </c>
    </row>
    <row r="178" spans="1:11" x14ac:dyDescent="0.35">
      <c r="A178">
        <f>Raw_Data!A178</f>
        <v>177</v>
      </c>
      <c r="B178">
        <f>Raw_Data!B178</f>
        <v>39</v>
      </c>
      <c r="C178">
        <f>Raw_Data!D178</f>
        <v>22</v>
      </c>
      <c r="D178">
        <f>Raw_Data!F178</f>
        <v>2</v>
      </c>
      <c r="E178">
        <f>Raw_Data!H178</f>
        <v>0</v>
      </c>
      <c r="F178">
        <f>Raw_Data!G178</f>
        <v>1</v>
      </c>
      <c r="G178">
        <f>Raw_Data!E178</f>
        <v>20638.060000000001</v>
      </c>
      <c r="H178">
        <f>Raw_Data!I178</f>
        <v>71578.16</v>
      </c>
      <c r="I178">
        <f>Raw_Data!J178</f>
        <v>0</v>
      </c>
      <c r="J178">
        <f t="shared" si="5"/>
        <v>2</v>
      </c>
      <c r="K178" t="str">
        <f t="shared" si="6"/>
        <v>Low Risk</v>
      </c>
    </row>
    <row r="179" spans="1:11" x14ac:dyDescent="0.35">
      <c r="A179">
        <f>Raw_Data!A179</f>
        <v>178</v>
      </c>
      <c r="B179">
        <f>Raw_Data!B179</f>
        <v>45</v>
      </c>
      <c r="C179">
        <f>Raw_Data!D179</f>
        <v>66</v>
      </c>
      <c r="D179">
        <f>Raw_Data!F179</f>
        <v>4</v>
      </c>
      <c r="E179">
        <f>Raw_Data!H179</f>
        <v>1</v>
      </c>
      <c r="F179">
        <f>Raw_Data!G179</f>
        <v>1</v>
      </c>
      <c r="G179">
        <f>Raw_Data!E179</f>
        <v>40117.72</v>
      </c>
      <c r="H179">
        <f>Raw_Data!I179</f>
        <v>81620.81</v>
      </c>
      <c r="I179">
        <f>Raw_Data!J179</f>
        <v>0</v>
      </c>
      <c r="J179">
        <f t="shared" si="5"/>
        <v>3</v>
      </c>
      <c r="K179" t="str">
        <f t="shared" si="6"/>
        <v>Medium Risk</v>
      </c>
    </row>
    <row r="180" spans="1:11" x14ac:dyDescent="0.35">
      <c r="A180">
        <f>Raw_Data!A180</f>
        <v>179</v>
      </c>
      <c r="B180">
        <f>Raw_Data!B180</f>
        <v>19</v>
      </c>
      <c r="C180">
        <f>Raw_Data!D180</f>
        <v>38</v>
      </c>
      <c r="D180">
        <f>Raw_Data!F180</f>
        <v>1</v>
      </c>
      <c r="E180">
        <f>Raw_Data!H180</f>
        <v>1</v>
      </c>
      <c r="F180">
        <f>Raw_Data!G180</f>
        <v>1</v>
      </c>
      <c r="G180">
        <f>Raw_Data!E180</f>
        <v>23953.5</v>
      </c>
      <c r="H180">
        <f>Raw_Data!I180</f>
        <v>78664.66</v>
      </c>
      <c r="I180">
        <f>Raw_Data!J180</f>
        <v>0</v>
      </c>
      <c r="J180">
        <f t="shared" si="5"/>
        <v>0</v>
      </c>
      <c r="K180" t="str">
        <f t="shared" si="6"/>
        <v>Low Risk</v>
      </c>
    </row>
    <row r="181" spans="1:11" x14ac:dyDescent="0.35">
      <c r="A181">
        <f>Raw_Data!A181</f>
        <v>180</v>
      </c>
      <c r="B181">
        <f>Raw_Data!B181</f>
        <v>59</v>
      </c>
      <c r="C181">
        <f>Raw_Data!D181</f>
        <v>46</v>
      </c>
      <c r="D181">
        <f>Raw_Data!F181</f>
        <v>4</v>
      </c>
      <c r="E181">
        <f>Raw_Data!H181</f>
        <v>1</v>
      </c>
      <c r="F181">
        <f>Raw_Data!G181</f>
        <v>0</v>
      </c>
      <c r="G181">
        <f>Raw_Data!E181</f>
        <v>900</v>
      </c>
      <c r="H181">
        <f>Raw_Data!I181</f>
        <v>132992.73000000001</v>
      </c>
      <c r="I181">
        <f>Raw_Data!J181</f>
        <v>0</v>
      </c>
      <c r="J181">
        <f t="shared" si="5"/>
        <v>3</v>
      </c>
      <c r="K181" t="str">
        <f t="shared" si="6"/>
        <v>Medium Risk</v>
      </c>
    </row>
    <row r="182" spans="1:11" x14ac:dyDescent="0.35">
      <c r="A182">
        <f>Raw_Data!A182</f>
        <v>181</v>
      </c>
      <c r="B182">
        <f>Raw_Data!B182</f>
        <v>62</v>
      </c>
      <c r="C182">
        <f>Raw_Data!D182</f>
        <v>15</v>
      </c>
      <c r="D182">
        <f>Raw_Data!F182</f>
        <v>3</v>
      </c>
      <c r="E182">
        <f>Raw_Data!H182</f>
        <v>0</v>
      </c>
      <c r="F182">
        <f>Raw_Data!G182</f>
        <v>1</v>
      </c>
      <c r="G182">
        <f>Raw_Data!E182</f>
        <v>21072.2</v>
      </c>
      <c r="H182">
        <f>Raw_Data!I182</f>
        <v>88908.12</v>
      </c>
      <c r="I182">
        <f>Raw_Data!J182</f>
        <v>0</v>
      </c>
      <c r="J182">
        <f t="shared" si="5"/>
        <v>3</v>
      </c>
      <c r="K182" t="str">
        <f t="shared" si="6"/>
        <v>Medium Risk</v>
      </c>
    </row>
    <row r="183" spans="1:11" x14ac:dyDescent="0.35">
      <c r="A183">
        <f>Raw_Data!A183</f>
        <v>182</v>
      </c>
      <c r="B183">
        <f>Raw_Data!B183</f>
        <v>23</v>
      </c>
      <c r="C183">
        <f>Raw_Data!D183</f>
        <v>44</v>
      </c>
      <c r="D183">
        <f>Raw_Data!F183</f>
        <v>1</v>
      </c>
      <c r="E183">
        <f>Raw_Data!H183</f>
        <v>1</v>
      </c>
      <c r="F183">
        <f>Raw_Data!G183</f>
        <v>0</v>
      </c>
      <c r="G183">
        <f>Raw_Data!E183</f>
        <v>1358.75</v>
      </c>
      <c r="H183">
        <f>Raw_Data!I183</f>
        <v>80837.460000000006</v>
      </c>
      <c r="I183">
        <f>Raw_Data!J183</f>
        <v>0</v>
      </c>
      <c r="J183">
        <f t="shared" si="5"/>
        <v>0</v>
      </c>
      <c r="K183" t="str">
        <f t="shared" si="6"/>
        <v>Low Risk</v>
      </c>
    </row>
    <row r="184" spans="1:11" x14ac:dyDescent="0.35">
      <c r="A184">
        <f>Raw_Data!A184</f>
        <v>183</v>
      </c>
      <c r="B184">
        <f>Raw_Data!B184</f>
        <v>45</v>
      </c>
      <c r="C184">
        <f>Raw_Data!D184</f>
        <v>49</v>
      </c>
      <c r="D184">
        <f>Raw_Data!F184</f>
        <v>1</v>
      </c>
      <c r="E184">
        <f>Raw_Data!H184</f>
        <v>1</v>
      </c>
      <c r="F184">
        <f>Raw_Data!G184</f>
        <v>1</v>
      </c>
      <c r="G184">
        <f>Raw_Data!E184</f>
        <v>48312.17</v>
      </c>
      <c r="H184">
        <f>Raw_Data!I184</f>
        <v>73392.2</v>
      </c>
      <c r="I184">
        <f>Raw_Data!J184</f>
        <v>0</v>
      </c>
      <c r="J184">
        <f t="shared" si="5"/>
        <v>1</v>
      </c>
      <c r="K184" t="str">
        <f t="shared" si="6"/>
        <v>Low Risk</v>
      </c>
    </row>
    <row r="185" spans="1:11" x14ac:dyDescent="0.35">
      <c r="A185">
        <f>Raw_Data!A185</f>
        <v>184</v>
      </c>
      <c r="B185">
        <f>Raw_Data!B185</f>
        <v>45</v>
      </c>
      <c r="C185">
        <f>Raw_Data!D185</f>
        <v>61</v>
      </c>
      <c r="D185">
        <f>Raw_Data!F185</f>
        <v>3</v>
      </c>
      <c r="E185">
        <f>Raw_Data!H185</f>
        <v>1</v>
      </c>
      <c r="F185">
        <f>Raw_Data!G185</f>
        <v>0</v>
      </c>
      <c r="G185">
        <f>Raw_Data!E185</f>
        <v>6372.7</v>
      </c>
      <c r="H185">
        <f>Raw_Data!I185</f>
        <v>126291.04</v>
      </c>
      <c r="I185">
        <f>Raw_Data!J185</f>
        <v>0</v>
      </c>
      <c r="J185">
        <f t="shared" si="5"/>
        <v>0</v>
      </c>
      <c r="K185" t="str">
        <f t="shared" si="6"/>
        <v>Low Risk</v>
      </c>
    </row>
    <row r="186" spans="1:11" x14ac:dyDescent="0.35">
      <c r="A186">
        <f>Raw_Data!A186</f>
        <v>185</v>
      </c>
      <c r="B186">
        <f>Raw_Data!B186</f>
        <v>61</v>
      </c>
      <c r="C186">
        <f>Raw_Data!D186</f>
        <v>67</v>
      </c>
      <c r="D186">
        <f>Raw_Data!F186</f>
        <v>3</v>
      </c>
      <c r="E186">
        <f>Raw_Data!H186</f>
        <v>1</v>
      </c>
      <c r="F186">
        <f>Raw_Data!G186</f>
        <v>1</v>
      </c>
      <c r="G186">
        <f>Raw_Data!E186</f>
        <v>35384.42</v>
      </c>
      <c r="H186">
        <f>Raw_Data!I186</f>
        <v>136357.35999999999</v>
      </c>
      <c r="I186">
        <f>Raw_Data!J186</f>
        <v>0</v>
      </c>
      <c r="J186">
        <f t="shared" si="5"/>
        <v>1</v>
      </c>
      <c r="K186" t="str">
        <f t="shared" si="6"/>
        <v>Low Risk</v>
      </c>
    </row>
    <row r="187" spans="1:11" x14ac:dyDescent="0.35">
      <c r="A187">
        <f>Raw_Data!A187</f>
        <v>186</v>
      </c>
      <c r="B187">
        <f>Raw_Data!B187</f>
        <v>61</v>
      </c>
      <c r="C187">
        <f>Raw_Data!D187</f>
        <v>6</v>
      </c>
      <c r="D187">
        <f>Raw_Data!F187</f>
        <v>4</v>
      </c>
      <c r="E187">
        <f>Raw_Data!H187</f>
        <v>1</v>
      </c>
      <c r="F187">
        <f>Raw_Data!G187</f>
        <v>0</v>
      </c>
      <c r="G187">
        <f>Raw_Data!E187</f>
        <v>48638.82</v>
      </c>
      <c r="H187">
        <f>Raw_Data!I187</f>
        <v>130921.52</v>
      </c>
      <c r="I187">
        <f>Raw_Data!J187</f>
        <v>0</v>
      </c>
      <c r="J187">
        <f t="shared" si="5"/>
        <v>6</v>
      </c>
      <c r="K187" t="str">
        <f t="shared" si="6"/>
        <v>High Risk</v>
      </c>
    </row>
    <row r="188" spans="1:11" x14ac:dyDescent="0.35">
      <c r="A188">
        <f>Raw_Data!A188</f>
        <v>187</v>
      </c>
      <c r="B188">
        <f>Raw_Data!B188</f>
        <v>37</v>
      </c>
      <c r="C188">
        <f>Raw_Data!D188</f>
        <v>9</v>
      </c>
      <c r="D188">
        <f>Raw_Data!F188</f>
        <v>4</v>
      </c>
      <c r="E188">
        <f>Raw_Data!H188</f>
        <v>1</v>
      </c>
      <c r="F188">
        <f>Raw_Data!G188</f>
        <v>0</v>
      </c>
      <c r="G188">
        <f>Raw_Data!E188</f>
        <v>41301.949999999997</v>
      </c>
      <c r="H188">
        <f>Raw_Data!I188</f>
        <v>107561.06</v>
      </c>
      <c r="I188">
        <f>Raw_Data!J188</f>
        <v>0</v>
      </c>
      <c r="J188">
        <f t="shared" si="5"/>
        <v>5</v>
      </c>
      <c r="K188" t="str">
        <f t="shared" si="6"/>
        <v>High Risk</v>
      </c>
    </row>
    <row r="189" spans="1:11" x14ac:dyDescent="0.35">
      <c r="A189">
        <f>Raw_Data!A189</f>
        <v>188</v>
      </c>
      <c r="B189">
        <f>Raw_Data!B189</f>
        <v>47</v>
      </c>
      <c r="C189">
        <f>Raw_Data!D189</f>
        <v>6</v>
      </c>
      <c r="D189">
        <f>Raw_Data!F189</f>
        <v>3</v>
      </c>
      <c r="E189">
        <f>Raw_Data!H189</f>
        <v>1</v>
      </c>
      <c r="F189">
        <f>Raw_Data!G189</f>
        <v>0</v>
      </c>
      <c r="G189">
        <f>Raw_Data!E189</f>
        <v>34965.769999999997</v>
      </c>
      <c r="H189">
        <f>Raw_Data!I189</f>
        <v>37857.03</v>
      </c>
      <c r="I189">
        <f>Raw_Data!J189</f>
        <v>0</v>
      </c>
      <c r="J189">
        <f t="shared" si="5"/>
        <v>2</v>
      </c>
      <c r="K189" t="str">
        <f t="shared" si="6"/>
        <v>Low Risk</v>
      </c>
    </row>
    <row r="190" spans="1:11" x14ac:dyDescent="0.35">
      <c r="A190">
        <f>Raw_Data!A190</f>
        <v>189</v>
      </c>
      <c r="B190">
        <f>Raw_Data!B190</f>
        <v>28</v>
      </c>
      <c r="C190">
        <f>Raw_Data!D190</f>
        <v>32</v>
      </c>
      <c r="D190">
        <f>Raw_Data!F190</f>
        <v>4</v>
      </c>
      <c r="E190">
        <f>Raw_Data!H190</f>
        <v>1</v>
      </c>
      <c r="F190">
        <f>Raw_Data!G190</f>
        <v>0</v>
      </c>
      <c r="G190">
        <f>Raw_Data!E190</f>
        <v>41973.05</v>
      </c>
      <c r="H190">
        <f>Raw_Data!I190</f>
        <v>55993.1</v>
      </c>
      <c r="I190">
        <f>Raw_Data!J190</f>
        <v>0</v>
      </c>
      <c r="J190">
        <f t="shared" si="5"/>
        <v>3</v>
      </c>
      <c r="K190" t="str">
        <f t="shared" si="6"/>
        <v>Medium Risk</v>
      </c>
    </row>
    <row r="191" spans="1:11" x14ac:dyDescent="0.35">
      <c r="A191">
        <f>Raw_Data!A191</f>
        <v>190</v>
      </c>
      <c r="B191">
        <f>Raw_Data!B191</f>
        <v>45</v>
      </c>
      <c r="C191">
        <f>Raw_Data!D191</f>
        <v>41</v>
      </c>
      <c r="D191">
        <f>Raw_Data!F191</f>
        <v>3</v>
      </c>
      <c r="E191">
        <f>Raw_Data!H191</f>
        <v>1</v>
      </c>
      <c r="F191">
        <f>Raw_Data!G191</f>
        <v>0</v>
      </c>
      <c r="G191">
        <f>Raw_Data!E191</f>
        <v>49089.93</v>
      </c>
      <c r="H191">
        <f>Raw_Data!I191</f>
        <v>25988.2</v>
      </c>
      <c r="I191">
        <f>Raw_Data!J191</f>
        <v>0</v>
      </c>
      <c r="J191">
        <f t="shared" si="5"/>
        <v>1</v>
      </c>
      <c r="K191" t="str">
        <f t="shared" si="6"/>
        <v>Low Risk</v>
      </c>
    </row>
    <row r="192" spans="1:11" x14ac:dyDescent="0.35">
      <c r="A192">
        <f>Raw_Data!A192</f>
        <v>191</v>
      </c>
      <c r="B192">
        <f>Raw_Data!B192</f>
        <v>42</v>
      </c>
      <c r="C192">
        <f>Raw_Data!D192</f>
        <v>8</v>
      </c>
      <c r="D192">
        <f>Raw_Data!F192</f>
        <v>1</v>
      </c>
      <c r="E192">
        <f>Raw_Data!H192</f>
        <v>1</v>
      </c>
      <c r="F192">
        <f>Raw_Data!G192</f>
        <v>0</v>
      </c>
      <c r="G192">
        <f>Raw_Data!E192</f>
        <v>31067.22</v>
      </c>
      <c r="H192">
        <f>Raw_Data!I192</f>
        <v>141007.13</v>
      </c>
      <c r="I192">
        <f>Raw_Data!J192</f>
        <v>0</v>
      </c>
      <c r="J192">
        <f t="shared" si="5"/>
        <v>2</v>
      </c>
      <c r="K192" t="str">
        <f t="shared" si="6"/>
        <v>Low Risk</v>
      </c>
    </row>
    <row r="193" spans="1:11" x14ac:dyDescent="0.35">
      <c r="A193">
        <f>Raw_Data!A193</f>
        <v>192</v>
      </c>
      <c r="B193">
        <f>Raw_Data!B193</f>
        <v>56</v>
      </c>
      <c r="C193">
        <f>Raw_Data!D193</f>
        <v>50</v>
      </c>
      <c r="D193">
        <f>Raw_Data!F193</f>
        <v>1</v>
      </c>
      <c r="E193">
        <f>Raw_Data!H193</f>
        <v>1</v>
      </c>
      <c r="F193">
        <f>Raw_Data!G193</f>
        <v>1</v>
      </c>
      <c r="G193">
        <f>Raw_Data!E193</f>
        <v>27959.24</v>
      </c>
      <c r="H193">
        <f>Raw_Data!I193</f>
        <v>105903.81</v>
      </c>
      <c r="I193">
        <f>Raw_Data!J193</f>
        <v>0</v>
      </c>
      <c r="J193">
        <f t="shared" si="5"/>
        <v>1</v>
      </c>
      <c r="K193" t="str">
        <f t="shared" si="6"/>
        <v>Low Risk</v>
      </c>
    </row>
    <row r="194" spans="1:11" x14ac:dyDescent="0.35">
      <c r="A194">
        <f>Raw_Data!A194</f>
        <v>193</v>
      </c>
      <c r="B194">
        <f>Raw_Data!B194</f>
        <v>50</v>
      </c>
      <c r="C194">
        <f>Raw_Data!D194</f>
        <v>62</v>
      </c>
      <c r="D194">
        <f>Raw_Data!F194</f>
        <v>2</v>
      </c>
      <c r="E194">
        <f>Raw_Data!H194</f>
        <v>0</v>
      </c>
      <c r="F194">
        <f>Raw_Data!G194</f>
        <v>1</v>
      </c>
      <c r="G194">
        <f>Raw_Data!E194</f>
        <v>31411.91</v>
      </c>
      <c r="H194">
        <f>Raw_Data!I194</f>
        <v>117027.17</v>
      </c>
      <c r="I194">
        <f>Raw_Data!J194</f>
        <v>0</v>
      </c>
      <c r="J194">
        <f t="shared" si="5"/>
        <v>2</v>
      </c>
      <c r="K194" t="str">
        <f t="shared" si="6"/>
        <v>Low Risk</v>
      </c>
    </row>
    <row r="195" spans="1:11" x14ac:dyDescent="0.35">
      <c r="A195">
        <f>Raw_Data!A195</f>
        <v>194</v>
      </c>
      <c r="B195">
        <f>Raw_Data!B195</f>
        <v>18</v>
      </c>
      <c r="C195">
        <f>Raw_Data!D195</f>
        <v>62</v>
      </c>
      <c r="D195">
        <f>Raw_Data!F195</f>
        <v>1</v>
      </c>
      <c r="E195">
        <f>Raw_Data!H195</f>
        <v>1</v>
      </c>
      <c r="F195">
        <f>Raw_Data!G195</f>
        <v>0</v>
      </c>
      <c r="G195">
        <f>Raw_Data!E195</f>
        <v>26633.79</v>
      </c>
      <c r="H195">
        <f>Raw_Data!I195</f>
        <v>60504.33</v>
      </c>
      <c r="I195">
        <f>Raw_Data!J195</f>
        <v>0</v>
      </c>
      <c r="J195">
        <f t="shared" ref="J195:J258" si="7">IF(E195=0,2,0)+IF(D195=4,2,0)+IF(C195&lt;=12,2,0)+IF(B195&gt;=56,1,0)+IF(G195&gt;=40000,1,0)</f>
        <v>0</v>
      </c>
      <c r="K195" t="str">
        <f t="shared" ref="K195:K258" si="8">IF(J195&gt;=5,"High Risk",IF(J195&gt;=3,"Medium Risk","Low Risk"))</f>
        <v>Low Risk</v>
      </c>
    </row>
    <row r="196" spans="1:11" x14ac:dyDescent="0.35">
      <c r="A196">
        <f>Raw_Data!A196</f>
        <v>195</v>
      </c>
      <c r="B196">
        <f>Raw_Data!B196</f>
        <v>44</v>
      </c>
      <c r="C196">
        <f>Raw_Data!D196</f>
        <v>7</v>
      </c>
      <c r="D196">
        <f>Raw_Data!F196</f>
        <v>3</v>
      </c>
      <c r="E196">
        <f>Raw_Data!H196</f>
        <v>1</v>
      </c>
      <c r="F196">
        <f>Raw_Data!G196</f>
        <v>0</v>
      </c>
      <c r="G196">
        <f>Raw_Data!E196</f>
        <v>31754.46</v>
      </c>
      <c r="H196">
        <f>Raw_Data!I196</f>
        <v>129934.96</v>
      </c>
      <c r="I196">
        <f>Raw_Data!J196</f>
        <v>0</v>
      </c>
      <c r="J196">
        <f t="shared" si="7"/>
        <v>2</v>
      </c>
      <c r="K196" t="str">
        <f t="shared" si="8"/>
        <v>Low Risk</v>
      </c>
    </row>
    <row r="197" spans="1:11" x14ac:dyDescent="0.35">
      <c r="A197">
        <f>Raw_Data!A197</f>
        <v>196</v>
      </c>
      <c r="B197">
        <f>Raw_Data!B197</f>
        <v>69</v>
      </c>
      <c r="C197">
        <f>Raw_Data!D197</f>
        <v>4</v>
      </c>
      <c r="D197">
        <f>Raw_Data!F197</f>
        <v>4</v>
      </c>
      <c r="E197">
        <f>Raw_Data!H197</f>
        <v>1</v>
      </c>
      <c r="F197">
        <f>Raw_Data!G197</f>
        <v>0</v>
      </c>
      <c r="G197">
        <f>Raw_Data!E197</f>
        <v>22492.11</v>
      </c>
      <c r="H197">
        <f>Raw_Data!I197</f>
        <v>53748.43</v>
      </c>
      <c r="I197">
        <f>Raw_Data!J197</f>
        <v>0</v>
      </c>
      <c r="J197">
        <f t="shared" si="7"/>
        <v>5</v>
      </c>
      <c r="K197" t="str">
        <f t="shared" si="8"/>
        <v>High Risk</v>
      </c>
    </row>
    <row r="198" spans="1:11" x14ac:dyDescent="0.35">
      <c r="A198">
        <f>Raw_Data!A198</f>
        <v>197</v>
      </c>
      <c r="B198">
        <f>Raw_Data!B198</f>
        <v>30</v>
      </c>
      <c r="C198">
        <f>Raw_Data!D198</f>
        <v>6</v>
      </c>
      <c r="D198">
        <f>Raw_Data!F198</f>
        <v>2</v>
      </c>
      <c r="E198">
        <f>Raw_Data!H198</f>
        <v>0</v>
      </c>
      <c r="F198">
        <f>Raw_Data!G198</f>
        <v>0</v>
      </c>
      <c r="G198">
        <f>Raw_Data!E198</f>
        <v>10922.16</v>
      </c>
      <c r="H198">
        <f>Raw_Data!I198</f>
        <v>20213.689999999999</v>
      </c>
      <c r="I198">
        <f>Raw_Data!J198</f>
        <v>0</v>
      </c>
      <c r="J198">
        <f t="shared" si="7"/>
        <v>4</v>
      </c>
      <c r="K198" t="str">
        <f t="shared" si="8"/>
        <v>Medium Risk</v>
      </c>
    </row>
    <row r="199" spans="1:11" x14ac:dyDescent="0.35">
      <c r="A199">
        <f>Raw_Data!A199</f>
        <v>198</v>
      </c>
      <c r="B199">
        <f>Raw_Data!B199</f>
        <v>58</v>
      </c>
      <c r="C199">
        <f>Raw_Data!D199</f>
        <v>58</v>
      </c>
      <c r="D199">
        <f>Raw_Data!F199</f>
        <v>4</v>
      </c>
      <c r="E199">
        <f>Raw_Data!H199</f>
        <v>1</v>
      </c>
      <c r="F199">
        <f>Raw_Data!G199</f>
        <v>1</v>
      </c>
      <c r="G199">
        <f>Raw_Data!E199</f>
        <v>6012.36</v>
      </c>
      <c r="H199">
        <f>Raw_Data!I199</f>
        <v>68933.95</v>
      </c>
      <c r="I199">
        <f>Raw_Data!J199</f>
        <v>0</v>
      </c>
      <c r="J199">
        <f t="shared" si="7"/>
        <v>3</v>
      </c>
      <c r="K199" t="str">
        <f t="shared" si="8"/>
        <v>Medium Risk</v>
      </c>
    </row>
    <row r="200" spans="1:11" x14ac:dyDescent="0.35">
      <c r="A200">
        <f>Raw_Data!A200</f>
        <v>199</v>
      </c>
      <c r="B200">
        <f>Raw_Data!B200</f>
        <v>20</v>
      </c>
      <c r="C200">
        <f>Raw_Data!D200</f>
        <v>22</v>
      </c>
      <c r="D200">
        <f>Raw_Data!F200</f>
        <v>3</v>
      </c>
      <c r="E200">
        <f>Raw_Data!H200</f>
        <v>0</v>
      </c>
      <c r="F200">
        <f>Raw_Data!G200</f>
        <v>0</v>
      </c>
      <c r="G200">
        <f>Raw_Data!E200</f>
        <v>3417.05</v>
      </c>
      <c r="H200">
        <f>Raw_Data!I200</f>
        <v>94198.99</v>
      </c>
      <c r="I200">
        <f>Raw_Data!J200</f>
        <v>0</v>
      </c>
      <c r="J200">
        <f t="shared" si="7"/>
        <v>2</v>
      </c>
      <c r="K200" t="str">
        <f t="shared" si="8"/>
        <v>Low Risk</v>
      </c>
    </row>
    <row r="201" spans="1:11" x14ac:dyDescent="0.35">
      <c r="A201">
        <f>Raw_Data!A201</f>
        <v>200</v>
      </c>
      <c r="B201">
        <f>Raw_Data!B201</f>
        <v>56</v>
      </c>
      <c r="C201">
        <f>Raw_Data!D201</f>
        <v>26</v>
      </c>
      <c r="D201">
        <f>Raw_Data!F201</f>
        <v>1</v>
      </c>
      <c r="E201">
        <f>Raw_Data!H201</f>
        <v>1</v>
      </c>
      <c r="F201">
        <f>Raw_Data!G201</f>
        <v>1</v>
      </c>
      <c r="G201">
        <f>Raw_Data!E201</f>
        <v>13165.79</v>
      </c>
      <c r="H201">
        <f>Raw_Data!I201</f>
        <v>82231.63</v>
      </c>
      <c r="I201">
        <f>Raw_Data!J201</f>
        <v>0</v>
      </c>
      <c r="J201">
        <f t="shared" si="7"/>
        <v>1</v>
      </c>
      <c r="K201" t="str">
        <f t="shared" si="8"/>
        <v>Low Risk</v>
      </c>
    </row>
    <row r="202" spans="1:11" x14ac:dyDescent="0.35">
      <c r="A202">
        <f>Raw_Data!A202</f>
        <v>201</v>
      </c>
      <c r="B202">
        <f>Raw_Data!B202</f>
        <v>23</v>
      </c>
      <c r="C202">
        <f>Raw_Data!D202</f>
        <v>3</v>
      </c>
      <c r="D202">
        <f>Raw_Data!F202</f>
        <v>2</v>
      </c>
      <c r="E202">
        <f>Raw_Data!H202</f>
        <v>1</v>
      </c>
      <c r="F202">
        <f>Raw_Data!G202</f>
        <v>1</v>
      </c>
      <c r="G202">
        <f>Raw_Data!E202</f>
        <v>2306.1799999999998</v>
      </c>
      <c r="H202">
        <f>Raw_Data!I202</f>
        <v>132069.9</v>
      </c>
      <c r="I202">
        <f>Raw_Data!J202</f>
        <v>0</v>
      </c>
      <c r="J202">
        <f t="shared" si="7"/>
        <v>2</v>
      </c>
      <c r="K202" t="str">
        <f t="shared" si="8"/>
        <v>Low Risk</v>
      </c>
    </row>
    <row r="203" spans="1:11" x14ac:dyDescent="0.35">
      <c r="A203">
        <f>Raw_Data!A203</f>
        <v>202</v>
      </c>
      <c r="B203">
        <f>Raw_Data!B203</f>
        <v>25</v>
      </c>
      <c r="C203">
        <f>Raw_Data!D203</f>
        <v>41</v>
      </c>
      <c r="D203">
        <f>Raw_Data!F203</f>
        <v>3</v>
      </c>
      <c r="E203">
        <f>Raw_Data!H203</f>
        <v>0</v>
      </c>
      <c r="F203">
        <f>Raw_Data!G203</f>
        <v>0</v>
      </c>
      <c r="G203">
        <f>Raw_Data!E203</f>
        <v>28358.54</v>
      </c>
      <c r="H203">
        <f>Raw_Data!I203</f>
        <v>33702.69</v>
      </c>
      <c r="I203">
        <f>Raw_Data!J203</f>
        <v>0</v>
      </c>
      <c r="J203">
        <f t="shared" si="7"/>
        <v>2</v>
      </c>
      <c r="K203" t="str">
        <f t="shared" si="8"/>
        <v>Low Risk</v>
      </c>
    </row>
    <row r="204" spans="1:11" x14ac:dyDescent="0.35">
      <c r="A204">
        <f>Raw_Data!A204</f>
        <v>203</v>
      </c>
      <c r="B204">
        <f>Raw_Data!B204</f>
        <v>44</v>
      </c>
      <c r="C204">
        <f>Raw_Data!D204</f>
        <v>60</v>
      </c>
      <c r="D204">
        <f>Raw_Data!F204</f>
        <v>2</v>
      </c>
      <c r="E204">
        <f>Raw_Data!H204</f>
        <v>1</v>
      </c>
      <c r="F204">
        <f>Raw_Data!G204</f>
        <v>0</v>
      </c>
      <c r="G204">
        <f>Raw_Data!E204</f>
        <v>14191.42</v>
      </c>
      <c r="H204">
        <f>Raw_Data!I204</f>
        <v>91997.05</v>
      </c>
      <c r="I204">
        <f>Raw_Data!J204</f>
        <v>0</v>
      </c>
      <c r="J204">
        <f t="shared" si="7"/>
        <v>0</v>
      </c>
      <c r="K204" t="str">
        <f t="shared" si="8"/>
        <v>Low Risk</v>
      </c>
    </row>
    <row r="205" spans="1:11" x14ac:dyDescent="0.35">
      <c r="A205">
        <f>Raw_Data!A205</f>
        <v>204</v>
      </c>
      <c r="B205">
        <f>Raw_Data!B205</f>
        <v>26</v>
      </c>
      <c r="C205">
        <f>Raw_Data!D205</f>
        <v>14</v>
      </c>
      <c r="D205">
        <f>Raw_Data!F205</f>
        <v>2</v>
      </c>
      <c r="E205">
        <f>Raw_Data!H205</f>
        <v>0</v>
      </c>
      <c r="F205">
        <f>Raw_Data!G205</f>
        <v>1</v>
      </c>
      <c r="G205">
        <f>Raw_Data!E205</f>
        <v>41226.74</v>
      </c>
      <c r="H205">
        <f>Raw_Data!I205</f>
        <v>86687.32</v>
      </c>
      <c r="I205">
        <f>Raw_Data!J205</f>
        <v>0</v>
      </c>
      <c r="J205">
        <f t="shared" si="7"/>
        <v>3</v>
      </c>
      <c r="K205" t="str">
        <f t="shared" si="8"/>
        <v>Medium Risk</v>
      </c>
    </row>
    <row r="206" spans="1:11" x14ac:dyDescent="0.35">
      <c r="A206">
        <f>Raw_Data!A206</f>
        <v>205</v>
      </c>
      <c r="B206">
        <f>Raw_Data!B206</f>
        <v>54</v>
      </c>
      <c r="C206">
        <f>Raw_Data!D206</f>
        <v>12</v>
      </c>
      <c r="D206">
        <f>Raw_Data!F206</f>
        <v>1</v>
      </c>
      <c r="E206">
        <f>Raw_Data!H206</f>
        <v>0</v>
      </c>
      <c r="F206">
        <f>Raw_Data!G206</f>
        <v>1</v>
      </c>
      <c r="G206">
        <f>Raw_Data!E206</f>
        <v>3712.04</v>
      </c>
      <c r="H206">
        <f>Raw_Data!I206</f>
        <v>56581.09</v>
      </c>
      <c r="I206">
        <f>Raw_Data!J206</f>
        <v>0</v>
      </c>
      <c r="J206">
        <f t="shared" si="7"/>
        <v>4</v>
      </c>
      <c r="K206" t="str">
        <f t="shared" si="8"/>
        <v>Medium Risk</v>
      </c>
    </row>
    <row r="207" spans="1:11" x14ac:dyDescent="0.35">
      <c r="A207">
        <f>Raw_Data!A207</f>
        <v>206</v>
      </c>
      <c r="B207">
        <f>Raw_Data!B207</f>
        <v>50</v>
      </c>
      <c r="C207">
        <f>Raw_Data!D207</f>
        <v>12</v>
      </c>
      <c r="D207">
        <f>Raw_Data!F207</f>
        <v>3</v>
      </c>
      <c r="E207">
        <f>Raw_Data!H207</f>
        <v>1</v>
      </c>
      <c r="F207">
        <f>Raw_Data!G207</f>
        <v>0</v>
      </c>
      <c r="G207">
        <f>Raw_Data!E207</f>
        <v>11317.57</v>
      </c>
      <c r="H207">
        <f>Raw_Data!I207</f>
        <v>126889.65</v>
      </c>
      <c r="I207">
        <f>Raw_Data!J207</f>
        <v>0</v>
      </c>
      <c r="J207">
        <f t="shared" si="7"/>
        <v>2</v>
      </c>
      <c r="K207" t="str">
        <f t="shared" si="8"/>
        <v>Low Risk</v>
      </c>
    </row>
    <row r="208" spans="1:11" x14ac:dyDescent="0.35">
      <c r="A208">
        <f>Raw_Data!A208</f>
        <v>207</v>
      </c>
      <c r="B208">
        <f>Raw_Data!B208</f>
        <v>68</v>
      </c>
      <c r="C208">
        <f>Raw_Data!D208</f>
        <v>13</v>
      </c>
      <c r="D208">
        <f>Raw_Data!F208</f>
        <v>4</v>
      </c>
      <c r="E208">
        <f>Raw_Data!H208</f>
        <v>1</v>
      </c>
      <c r="F208">
        <f>Raw_Data!G208</f>
        <v>0</v>
      </c>
      <c r="G208">
        <f>Raw_Data!E208</f>
        <v>36512.31</v>
      </c>
      <c r="H208">
        <f>Raw_Data!I208</f>
        <v>117870.33</v>
      </c>
      <c r="I208">
        <f>Raw_Data!J208</f>
        <v>0</v>
      </c>
      <c r="J208">
        <f t="shared" si="7"/>
        <v>3</v>
      </c>
      <c r="K208" t="str">
        <f t="shared" si="8"/>
        <v>Medium Risk</v>
      </c>
    </row>
    <row r="209" spans="1:11" x14ac:dyDescent="0.35">
      <c r="A209">
        <f>Raw_Data!A209</f>
        <v>208</v>
      </c>
      <c r="B209">
        <f>Raw_Data!B209</f>
        <v>59</v>
      </c>
      <c r="C209">
        <f>Raw_Data!D209</f>
        <v>25</v>
      </c>
      <c r="D209">
        <f>Raw_Data!F209</f>
        <v>2</v>
      </c>
      <c r="E209">
        <f>Raw_Data!H209</f>
        <v>1</v>
      </c>
      <c r="F209">
        <f>Raw_Data!G209</f>
        <v>0</v>
      </c>
      <c r="G209">
        <f>Raw_Data!E209</f>
        <v>29940.41</v>
      </c>
      <c r="H209">
        <f>Raw_Data!I209</f>
        <v>115271.69</v>
      </c>
      <c r="I209">
        <f>Raw_Data!J209</f>
        <v>0</v>
      </c>
      <c r="J209">
        <f t="shared" si="7"/>
        <v>1</v>
      </c>
      <c r="K209" t="str">
        <f t="shared" si="8"/>
        <v>Low Risk</v>
      </c>
    </row>
    <row r="210" spans="1:11" x14ac:dyDescent="0.35">
      <c r="A210">
        <f>Raw_Data!A210</f>
        <v>209</v>
      </c>
      <c r="B210">
        <f>Raw_Data!B210</f>
        <v>61</v>
      </c>
      <c r="C210">
        <f>Raw_Data!D210</f>
        <v>45</v>
      </c>
      <c r="D210">
        <f>Raw_Data!F210</f>
        <v>2</v>
      </c>
      <c r="E210">
        <f>Raw_Data!H210</f>
        <v>1</v>
      </c>
      <c r="F210">
        <f>Raw_Data!G210</f>
        <v>1</v>
      </c>
      <c r="G210">
        <f>Raw_Data!E210</f>
        <v>3224.56</v>
      </c>
      <c r="H210">
        <f>Raw_Data!I210</f>
        <v>133905.01999999999</v>
      </c>
      <c r="I210">
        <f>Raw_Data!J210</f>
        <v>0</v>
      </c>
      <c r="J210">
        <f t="shared" si="7"/>
        <v>1</v>
      </c>
      <c r="K210" t="str">
        <f t="shared" si="8"/>
        <v>Low Risk</v>
      </c>
    </row>
    <row r="211" spans="1:11" x14ac:dyDescent="0.35">
      <c r="A211">
        <f>Raw_Data!A211</f>
        <v>210</v>
      </c>
      <c r="B211">
        <f>Raw_Data!B211</f>
        <v>41</v>
      </c>
      <c r="C211">
        <f>Raw_Data!D211</f>
        <v>19</v>
      </c>
      <c r="D211">
        <f>Raw_Data!F211</f>
        <v>4</v>
      </c>
      <c r="E211">
        <f>Raw_Data!H211</f>
        <v>0</v>
      </c>
      <c r="F211">
        <f>Raw_Data!G211</f>
        <v>1</v>
      </c>
      <c r="G211">
        <f>Raw_Data!E211</f>
        <v>43861.97</v>
      </c>
      <c r="H211">
        <f>Raw_Data!I211</f>
        <v>113962</v>
      </c>
      <c r="I211">
        <f>Raw_Data!J211</f>
        <v>0</v>
      </c>
      <c r="J211">
        <f t="shared" si="7"/>
        <v>5</v>
      </c>
      <c r="K211" t="str">
        <f t="shared" si="8"/>
        <v>High Risk</v>
      </c>
    </row>
    <row r="212" spans="1:11" x14ac:dyDescent="0.35">
      <c r="A212">
        <f>Raw_Data!A212</f>
        <v>211</v>
      </c>
      <c r="B212">
        <f>Raw_Data!B212</f>
        <v>32</v>
      </c>
      <c r="C212">
        <f>Raw_Data!D212</f>
        <v>55</v>
      </c>
      <c r="D212">
        <f>Raw_Data!F212</f>
        <v>3</v>
      </c>
      <c r="E212">
        <f>Raw_Data!H212</f>
        <v>0</v>
      </c>
      <c r="F212">
        <f>Raw_Data!G212</f>
        <v>0</v>
      </c>
      <c r="G212">
        <f>Raw_Data!E212</f>
        <v>43863.09</v>
      </c>
      <c r="H212">
        <f>Raw_Data!I212</f>
        <v>50139.37</v>
      </c>
      <c r="I212">
        <f>Raw_Data!J212</f>
        <v>0</v>
      </c>
      <c r="J212">
        <f t="shared" si="7"/>
        <v>3</v>
      </c>
      <c r="K212" t="str">
        <f t="shared" si="8"/>
        <v>Medium Risk</v>
      </c>
    </row>
    <row r="213" spans="1:11" x14ac:dyDescent="0.35">
      <c r="A213">
        <f>Raw_Data!A213</f>
        <v>212</v>
      </c>
      <c r="B213">
        <f>Raw_Data!B213</f>
        <v>49</v>
      </c>
      <c r="C213">
        <f>Raw_Data!D213</f>
        <v>45</v>
      </c>
      <c r="D213">
        <f>Raw_Data!F213</f>
        <v>2</v>
      </c>
      <c r="E213">
        <f>Raw_Data!H213</f>
        <v>1</v>
      </c>
      <c r="F213">
        <f>Raw_Data!G213</f>
        <v>1</v>
      </c>
      <c r="G213">
        <f>Raw_Data!E213</f>
        <v>16520.400000000001</v>
      </c>
      <c r="H213">
        <f>Raw_Data!I213</f>
        <v>111723.15</v>
      </c>
      <c r="I213">
        <f>Raw_Data!J213</f>
        <v>0</v>
      </c>
      <c r="J213">
        <f t="shared" si="7"/>
        <v>0</v>
      </c>
      <c r="K213" t="str">
        <f t="shared" si="8"/>
        <v>Low Risk</v>
      </c>
    </row>
    <row r="214" spans="1:11" x14ac:dyDescent="0.35">
      <c r="A214">
        <f>Raw_Data!A214</f>
        <v>213</v>
      </c>
      <c r="B214">
        <f>Raw_Data!B214</f>
        <v>49</v>
      </c>
      <c r="C214">
        <f>Raw_Data!D214</f>
        <v>8</v>
      </c>
      <c r="D214">
        <f>Raw_Data!F214</f>
        <v>2</v>
      </c>
      <c r="E214">
        <f>Raw_Data!H214</f>
        <v>0</v>
      </c>
      <c r="F214">
        <f>Raw_Data!G214</f>
        <v>1</v>
      </c>
      <c r="G214">
        <f>Raw_Data!E214</f>
        <v>17020.29</v>
      </c>
      <c r="H214">
        <f>Raw_Data!I214</f>
        <v>60001.37</v>
      </c>
      <c r="I214">
        <f>Raw_Data!J214</f>
        <v>0</v>
      </c>
      <c r="J214">
        <f t="shared" si="7"/>
        <v>4</v>
      </c>
      <c r="K214" t="str">
        <f t="shared" si="8"/>
        <v>Medium Risk</v>
      </c>
    </row>
    <row r="215" spans="1:11" x14ac:dyDescent="0.35">
      <c r="A215">
        <f>Raw_Data!A215</f>
        <v>214</v>
      </c>
      <c r="B215">
        <f>Raw_Data!B215</f>
        <v>41</v>
      </c>
      <c r="C215">
        <f>Raw_Data!D215</f>
        <v>53</v>
      </c>
      <c r="D215">
        <f>Raw_Data!F215</f>
        <v>2</v>
      </c>
      <c r="E215">
        <f>Raw_Data!H215</f>
        <v>0</v>
      </c>
      <c r="F215">
        <f>Raw_Data!G215</f>
        <v>0</v>
      </c>
      <c r="G215">
        <f>Raw_Data!E215</f>
        <v>49451.42</v>
      </c>
      <c r="H215">
        <f>Raw_Data!I215</f>
        <v>51482.7</v>
      </c>
      <c r="I215">
        <f>Raw_Data!J215</f>
        <v>0</v>
      </c>
      <c r="J215">
        <f t="shared" si="7"/>
        <v>3</v>
      </c>
      <c r="K215" t="str">
        <f t="shared" si="8"/>
        <v>Medium Risk</v>
      </c>
    </row>
    <row r="216" spans="1:11" x14ac:dyDescent="0.35">
      <c r="A216">
        <f>Raw_Data!A216</f>
        <v>215</v>
      </c>
      <c r="B216">
        <f>Raw_Data!B216</f>
        <v>58</v>
      </c>
      <c r="C216">
        <f>Raw_Data!D216</f>
        <v>55</v>
      </c>
      <c r="D216">
        <f>Raw_Data!F216</f>
        <v>3</v>
      </c>
      <c r="E216">
        <f>Raw_Data!H216</f>
        <v>1</v>
      </c>
      <c r="F216">
        <f>Raw_Data!G216</f>
        <v>0</v>
      </c>
      <c r="G216">
        <f>Raw_Data!E216</f>
        <v>31308.81</v>
      </c>
      <c r="H216">
        <f>Raw_Data!I216</f>
        <v>29490.47</v>
      </c>
      <c r="I216">
        <f>Raw_Data!J216</f>
        <v>0</v>
      </c>
      <c r="J216">
        <f t="shared" si="7"/>
        <v>1</v>
      </c>
      <c r="K216" t="str">
        <f t="shared" si="8"/>
        <v>Low Risk</v>
      </c>
    </row>
    <row r="217" spans="1:11" x14ac:dyDescent="0.35">
      <c r="A217">
        <f>Raw_Data!A217</f>
        <v>216</v>
      </c>
      <c r="B217">
        <f>Raw_Data!B217</f>
        <v>69</v>
      </c>
      <c r="C217">
        <f>Raw_Data!D217</f>
        <v>32</v>
      </c>
      <c r="D217">
        <f>Raw_Data!F217</f>
        <v>3</v>
      </c>
      <c r="E217">
        <f>Raw_Data!H217</f>
        <v>0</v>
      </c>
      <c r="F217">
        <f>Raw_Data!G217</f>
        <v>1</v>
      </c>
      <c r="G217">
        <f>Raw_Data!E217</f>
        <v>26565.83</v>
      </c>
      <c r="H217">
        <f>Raw_Data!I217</f>
        <v>116723.72</v>
      </c>
      <c r="I217">
        <f>Raw_Data!J217</f>
        <v>0</v>
      </c>
      <c r="J217">
        <f t="shared" si="7"/>
        <v>3</v>
      </c>
      <c r="K217" t="str">
        <f t="shared" si="8"/>
        <v>Medium Risk</v>
      </c>
    </row>
    <row r="218" spans="1:11" x14ac:dyDescent="0.35">
      <c r="A218">
        <f>Raw_Data!A218</f>
        <v>217</v>
      </c>
      <c r="B218">
        <f>Raw_Data!B218</f>
        <v>66</v>
      </c>
      <c r="C218">
        <f>Raw_Data!D218</f>
        <v>51</v>
      </c>
      <c r="D218">
        <f>Raw_Data!F218</f>
        <v>4</v>
      </c>
      <c r="E218">
        <f>Raw_Data!H218</f>
        <v>0</v>
      </c>
      <c r="F218">
        <f>Raw_Data!G218</f>
        <v>1</v>
      </c>
      <c r="G218">
        <f>Raw_Data!E218</f>
        <v>41907.61</v>
      </c>
      <c r="H218">
        <f>Raw_Data!I218</f>
        <v>112430.13</v>
      </c>
      <c r="I218">
        <f>Raw_Data!J218</f>
        <v>0</v>
      </c>
      <c r="J218">
        <f t="shared" si="7"/>
        <v>6</v>
      </c>
      <c r="K218" t="str">
        <f t="shared" si="8"/>
        <v>High Risk</v>
      </c>
    </row>
    <row r="219" spans="1:11" x14ac:dyDescent="0.35">
      <c r="A219">
        <f>Raw_Data!A219</f>
        <v>218</v>
      </c>
      <c r="B219">
        <f>Raw_Data!B219</f>
        <v>66</v>
      </c>
      <c r="C219">
        <f>Raw_Data!D219</f>
        <v>44</v>
      </c>
      <c r="D219">
        <f>Raw_Data!F219</f>
        <v>3</v>
      </c>
      <c r="E219">
        <f>Raw_Data!H219</f>
        <v>1</v>
      </c>
      <c r="F219">
        <f>Raw_Data!G219</f>
        <v>0</v>
      </c>
      <c r="G219">
        <f>Raw_Data!E219</f>
        <v>14264.52</v>
      </c>
      <c r="H219">
        <f>Raw_Data!I219</f>
        <v>50484.93</v>
      </c>
      <c r="I219">
        <f>Raw_Data!J219</f>
        <v>0</v>
      </c>
      <c r="J219">
        <f t="shared" si="7"/>
        <v>1</v>
      </c>
      <c r="K219" t="str">
        <f t="shared" si="8"/>
        <v>Low Risk</v>
      </c>
    </row>
    <row r="220" spans="1:11" x14ac:dyDescent="0.35">
      <c r="A220">
        <f>Raw_Data!A220</f>
        <v>219</v>
      </c>
      <c r="B220">
        <f>Raw_Data!B220</f>
        <v>69</v>
      </c>
      <c r="C220">
        <f>Raw_Data!D220</f>
        <v>70</v>
      </c>
      <c r="D220">
        <f>Raw_Data!F220</f>
        <v>3</v>
      </c>
      <c r="E220">
        <f>Raw_Data!H220</f>
        <v>0</v>
      </c>
      <c r="F220">
        <f>Raw_Data!G220</f>
        <v>0</v>
      </c>
      <c r="G220">
        <f>Raw_Data!E220</f>
        <v>21459.13</v>
      </c>
      <c r="H220">
        <f>Raw_Data!I220</f>
        <v>117419.27</v>
      </c>
      <c r="I220">
        <f>Raw_Data!J220</f>
        <v>0</v>
      </c>
      <c r="J220">
        <f t="shared" si="7"/>
        <v>3</v>
      </c>
      <c r="K220" t="str">
        <f t="shared" si="8"/>
        <v>Medium Risk</v>
      </c>
    </row>
    <row r="221" spans="1:11" x14ac:dyDescent="0.35">
      <c r="A221">
        <f>Raw_Data!A221</f>
        <v>220</v>
      </c>
      <c r="B221">
        <f>Raw_Data!B221</f>
        <v>29</v>
      </c>
      <c r="C221">
        <f>Raw_Data!D221</f>
        <v>18</v>
      </c>
      <c r="D221">
        <f>Raw_Data!F221</f>
        <v>1</v>
      </c>
      <c r="E221">
        <f>Raw_Data!H221</f>
        <v>1</v>
      </c>
      <c r="F221">
        <f>Raw_Data!G221</f>
        <v>0</v>
      </c>
      <c r="G221">
        <f>Raw_Data!E221</f>
        <v>13388.83</v>
      </c>
      <c r="H221">
        <f>Raw_Data!I221</f>
        <v>139319.31</v>
      </c>
      <c r="I221">
        <f>Raw_Data!J221</f>
        <v>0</v>
      </c>
      <c r="J221">
        <f t="shared" si="7"/>
        <v>0</v>
      </c>
      <c r="K221" t="str">
        <f t="shared" si="8"/>
        <v>Low Risk</v>
      </c>
    </row>
    <row r="222" spans="1:11" x14ac:dyDescent="0.35">
      <c r="A222">
        <f>Raw_Data!A222</f>
        <v>221</v>
      </c>
      <c r="B222">
        <f>Raw_Data!B222</f>
        <v>56</v>
      </c>
      <c r="C222">
        <f>Raw_Data!D222</f>
        <v>22</v>
      </c>
      <c r="D222">
        <f>Raw_Data!F222</f>
        <v>4</v>
      </c>
      <c r="E222">
        <f>Raw_Data!H222</f>
        <v>0</v>
      </c>
      <c r="F222">
        <f>Raw_Data!G222</f>
        <v>0</v>
      </c>
      <c r="G222">
        <f>Raw_Data!E222</f>
        <v>39458.04</v>
      </c>
      <c r="H222">
        <f>Raw_Data!I222</f>
        <v>34043.760000000002</v>
      </c>
      <c r="I222">
        <f>Raw_Data!J222</f>
        <v>0</v>
      </c>
      <c r="J222">
        <f t="shared" si="7"/>
        <v>5</v>
      </c>
      <c r="K222" t="str">
        <f t="shared" si="8"/>
        <v>High Risk</v>
      </c>
    </row>
    <row r="223" spans="1:11" x14ac:dyDescent="0.35">
      <c r="A223">
        <f>Raw_Data!A223</f>
        <v>222</v>
      </c>
      <c r="B223">
        <f>Raw_Data!B223</f>
        <v>19</v>
      </c>
      <c r="C223">
        <f>Raw_Data!D223</f>
        <v>37</v>
      </c>
      <c r="D223">
        <f>Raw_Data!F223</f>
        <v>2</v>
      </c>
      <c r="E223">
        <f>Raw_Data!H223</f>
        <v>1</v>
      </c>
      <c r="F223">
        <f>Raw_Data!G223</f>
        <v>0</v>
      </c>
      <c r="G223">
        <f>Raw_Data!E223</f>
        <v>28667.47</v>
      </c>
      <c r="H223">
        <f>Raw_Data!I223</f>
        <v>50242.76</v>
      </c>
      <c r="I223">
        <f>Raw_Data!J223</f>
        <v>0</v>
      </c>
      <c r="J223">
        <f t="shared" si="7"/>
        <v>0</v>
      </c>
      <c r="K223" t="str">
        <f t="shared" si="8"/>
        <v>Low Risk</v>
      </c>
    </row>
    <row r="224" spans="1:11" x14ac:dyDescent="0.35">
      <c r="A224">
        <f>Raw_Data!A224</f>
        <v>223</v>
      </c>
      <c r="B224">
        <f>Raw_Data!B224</f>
        <v>20</v>
      </c>
      <c r="C224">
        <f>Raw_Data!D224</f>
        <v>56</v>
      </c>
      <c r="D224">
        <f>Raw_Data!F224</f>
        <v>3</v>
      </c>
      <c r="E224">
        <f>Raw_Data!H224</f>
        <v>0</v>
      </c>
      <c r="F224">
        <f>Raw_Data!G224</f>
        <v>1</v>
      </c>
      <c r="G224">
        <f>Raw_Data!E224</f>
        <v>32941.25</v>
      </c>
      <c r="H224">
        <f>Raw_Data!I224</f>
        <v>117533.9</v>
      </c>
      <c r="I224">
        <f>Raw_Data!J224</f>
        <v>0</v>
      </c>
      <c r="J224">
        <f t="shared" si="7"/>
        <v>2</v>
      </c>
      <c r="K224" t="str">
        <f t="shared" si="8"/>
        <v>Low Risk</v>
      </c>
    </row>
    <row r="225" spans="1:11" x14ac:dyDescent="0.35">
      <c r="A225">
        <f>Raw_Data!A225</f>
        <v>224</v>
      </c>
      <c r="B225">
        <f>Raw_Data!B225</f>
        <v>66</v>
      </c>
      <c r="C225">
        <f>Raw_Data!D225</f>
        <v>59</v>
      </c>
      <c r="D225">
        <f>Raw_Data!F225</f>
        <v>2</v>
      </c>
      <c r="E225">
        <f>Raw_Data!H225</f>
        <v>0</v>
      </c>
      <c r="F225">
        <f>Raw_Data!G225</f>
        <v>1</v>
      </c>
      <c r="G225">
        <f>Raw_Data!E225</f>
        <v>12615.36</v>
      </c>
      <c r="H225">
        <f>Raw_Data!I225</f>
        <v>55685.87</v>
      </c>
      <c r="I225">
        <f>Raw_Data!J225</f>
        <v>0</v>
      </c>
      <c r="J225">
        <f t="shared" si="7"/>
        <v>3</v>
      </c>
      <c r="K225" t="str">
        <f t="shared" si="8"/>
        <v>Medium Risk</v>
      </c>
    </row>
    <row r="226" spans="1:11" x14ac:dyDescent="0.35">
      <c r="A226">
        <f>Raw_Data!A226</f>
        <v>225</v>
      </c>
      <c r="B226">
        <f>Raw_Data!B226</f>
        <v>54</v>
      </c>
      <c r="C226">
        <f>Raw_Data!D226</f>
        <v>3</v>
      </c>
      <c r="D226">
        <f>Raw_Data!F226</f>
        <v>2</v>
      </c>
      <c r="E226">
        <f>Raw_Data!H226</f>
        <v>1</v>
      </c>
      <c r="F226">
        <f>Raw_Data!G226</f>
        <v>1</v>
      </c>
      <c r="G226">
        <f>Raw_Data!E226</f>
        <v>11011.27</v>
      </c>
      <c r="H226">
        <f>Raw_Data!I226</f>
        <v>101206.32</v>
      </c>
      <c r="I226">
        <f>Raw_Data!J226</f>
        <v>0</v>
      </c>
      <c r="J226">
        <f t="shared" si="7"/>
        <v>2</v>
      </c>
      <c r="K226" t="str">
        <f t="shared" si="8"/>
        <v>Low Risk</v>
      </c>
    </row>
    <row r="227" spans="1:11" x14ac:dyDescent="0.35">
      <c r="A227">
        <f>Raw_Data!A227</f>
        <v>226</v>
      </c>
      <c r="B227">
        <f>Raw_Data!B227</f>
        <v>66</v>
      </c>
      <c r="C227">
        <f>Raw_Data!D227</f>
        <v>28</v>
      </c>
      <c r="D227">
        <f>Raw_Data!F227</f>
        <v>1</v>
      </c>
      <c r="E227">
        <f>Raw_Data!H227</f>
        <v>1</v>
      </c>
      <c r="F227">
        <f>Raw_Data!G227</f>
        <v>1</v>
      </c>
      <c r="G227">
        <f>Raw_Data!E227</f>
        <v>24418.73</v>
      </c>
      <c r="H227">
        <f>Raw_Data!I227</f>
        <v>30551.35</v>
      </c>
      <c r="I227">
        <f>Raw_Data!J227</f>
        <v>0</v>
      </c>
      <c r="J227">
        <f t="shared" si="7"/>
        <v>1</v>
      </c>
      <c r="K227" t="str">
        <f t="shared" si="8"/>
        <v>Low Risk</v>
      </c>
    </row>
    <row r="228" spans="1:11" x14ac:dyDescent="0.35">
      <c r="A228">
        <f>Raw_Data!A228</f>
        <v>227</v>
      </c>
      <c r="B228">
        <f>Raw_Data!B228</f>
        <v>34</v>
      </c>
      <c r="C228">
        <f>Raw_Data!D228</f>
        <v>35</v>
      </c>
      <c r="D228">
        <f>Raw_Data!F228</f>
        <v>3</v>
      </c>
      <c r="E228">
        <f>Raw_Data!H228</f>
        <v>1</v>
      </c>
      <c r="F228">
        <f>Raw_Data!G228</f>
        <v>0</v>
      </c>
      <c r="G228">
        <f>Raw_Data!E228</f>
        <v>36878.29</v>
      </c>
      <c r="H228">
        <f>Raw_Data!I228</f>
        <v>78786.320000000007</v>
      </c>
      <c r="I228">
        <f>Raw_Data!J228</f>
        <v>0</v>
      </c>
      <c r="J228">
        <f t="shared" si="7"/>
        <v>0</v>
      </c>
      <c r="K228" t="str">
        <f t="shared" si="8"/>
        <v>Low Risk</v>
      </c>
    </row>
    <row r="229" spans="1:11" x14ac:dyDescent="0.35">
      <c r="A229">
        <f>Raw_Data!A229</f>
        <v>228</v>
      </c>
      <c r="B229">
        <f>Raw_Data!B229</f>
        <v>66</v>
      </c>
      <c r="C229">
        <f>Raw_Data!D229</f>
        <v>61</v>
      </c>
      <c r="D229">
        <f>Raw_Data!F229</f>
        <v>4</v>
      </c>
      <c r="E229">
        <f>Raw_Data!H229</f>
        <v>1</v>
      </c>
      <c r="F229">
        <f>Raw_Data!G229</f>
        <v>0</v>
      </c>
      <c r="G229">
        <f>Raw_Data!E229</f>
        <v>26261.99</v>
      </c>
      <c r="H229">
        <f>Raw_Data!I229</f>
        <v>116081.88</v>
      </c>
      <c r="I229">
        <f>Raw_Data!J229</f>
        <v>0</v>
      </c>
      <c r="J229">
        <f t="shared" si="7"/>
        <v>3</v>
      </c>
      <c r="K229" t="str">
        <f t="shared" si="8"/>
        <v>Medium Risk</v>
      </c>
    </row>
    <row r="230" spans="1:11" x14ac:dyDescent="0.35">
      <c r="A230">
        <f>Raw_Data!A230</f>
        <v>229</v>
      </c>
      <c r="B230">
        <f>Raw_Data!B230</f>
        <v>19</v>
      </c>
      <c r="C230">
        <f>Raw_Data!D230</f>
        <v>54</v>
      </c>
      <c r="D230">
        <f>Raw_Data!F230</f>
        <v>3</v>
      </c>
      <c r="E230">
        <f>Raw_Data!H230</f>
        <v>0</v>
      </c>
      <c r="F230">
        <f>Raw_Data!G230</f>
        <v>0</v>
      </c>
      <c r="G230">
        <f>Raw_Data!E230</f>
        <v>1632.28</v>
      </c>
      <c r="H230">
        <f>Raw_Data!I230</f>
        <v>109246.81</v>
      </c>
      <c r="I230">
        <f>Raw_Data!J230</f>
        <v>0</v>
      </c>
      <c r="J230">
        <f t="shared" si="7"/>
        <v>2</v>
      </c>
      <c r="K230" t="str">
        <f t="shared" si="8"/>
        <v>Low Risk</v>
      </c>
    </row>
    <row r="231" spans="1:11" x14ac:dyDescent="0.35">
      <c r="A231">
        <f>Raw_Data!A231</f>
        <v>230</v>
      </c>
      <c r="B231">
        <f>Raw_Data!B231</f>
        <v>19</v>
      </c>
      <c r="C231">
        <f>Raw_Data!D231</f>
        <v>63</v>
      </c>
      <c r="D231">
        <f>Raw_Data!F231</f>
        <v>2</v>
      </c>
      <c r="E231">
        <f>Raw_Data!H231</f>
        <v>0</v>
      </c>
      <c r="F231">
        <f>Raw_Data!G231</f>
        <v>1</v>
      </c>
      <c r="G231">
        <f>Raw_Data!E231</f>
        <v>43427.58</v>
      </c>
      <c r="H231">
        <f>Raw_Data!I231</f>
        <v>125959.37</v>
      </c>
      <c r="I231">
        <f>Raw_Data!J231</f>
        <v>0</v>
      </c>
      <c r="J231">
        <f t="shared" si="7"/>
        <v>3</v>
      </c>
      <c r="K231" t="str">
        <f t="shared" si="8"/>
        <v>Medium Risk</v>
      </c>
    </row>
    <row r="232" spans="1:11" x14ac:dyDescent="0.35">
      <c r="A232">
        <f>Raw_Data!A232</f>
        <v>231</v>
      </c>
      <c r="B232">
        <f>Raw_Data!B232</f>
        <v>45</v>
      </c>
      <c r="C232">
        <f>Raw_Data!D232</f>
        <v>7</v>
      </c>
      <c r="D232">
        <f>Raw_Data!F232</f>
        <v>4</v>
      </c>
      <c r="E232">
        <f>Raw_Data!H232</f>
        <v>0</v>
      </c>
      <c r="F232">
        <f>Raw_Data!G232</f>
        <v>1</v>
      </c>
      <c r="G232">
        <f>Raw_Data!E232</f>
        <v>3234.34</v>
      </c>
      <c r="H232">
        <f>Raw_Data!I232</f>
        <v>134068.78</v>
      </c>
      <c r="I232">
        <f>Raw_Data!J232</f>
        <v>1</v>
      </c>
      <c r="J232">
        <f t="shared" si="7"/>
        <v>6</v>
      </c>
      <c r="K232" t="str">
        <f t="shared" si="8"/>
        <v>High Risk</v>
      </c>
    </row>
    <row r="233" spans="1:11" x14ac:dyDescent="0.35">
      <c r="A233">
        <f>Raw_Data!A233</f>
        <v>232</v>
      </c>
      <c r="B233">
        <f>Raw_Data!B233</f>
        <v>40</v>
      </c>
      <c r="C233">
        <f>Raw_Data!D233</f>
        <v>49</v>
      </c>
      <c r="D233">
        <f>Raw_Data!F233</f>
        <v>3</v>
      </c>
      <c r="E233">
        <f>Raw_Data!H233</f>
        <v>1</v>
      </c>
      <c r="F233">
        <f>Raw_Data!G233</f>
        <v>1</v>
      </c>
      <c r="G233">
        <f>Raw_Data!E233</f>
        <v>47791.22</v>
      </c>
      <c r="H233">
        <f>Raw_Data!I233</f>
        <v>120513.86</v>
      </c>
      <c r="I233">
        <f>Raw_Data!J233</f>
        <v>0</v>
      </c>
      <c r="J233">
        <f t="shared" si="7"/>
        <v>1</v>
      </c>
      <c r="K233" t="str">
        <f t="shared" si="8"/>
        <v>Low Risk</v>
      </c>
    </row>
    <row r="234" spans="1:11" x14ac:dyDescent="0.35">
      <c r="A234">
        <f>Raw_Data!A234</f>
        <v>233</v>
      </c>
      <c r="B234">
        <f>Raw_Data!B234</f>
        <v>54</v>
      </c>
      <c r="C234">
        <f>Raw_Data!D234</f>
        <v>31</v>
      </c>
      <c r="D234">
        <f>Raw_Data!F234</f>
        <v>2</v>
      </c>
      <c r="E234">
        <f>Raw_Data!H234</f>
        <v>0</v>
      </c>
      <c r="F234">
        <f>Raw_Data!G234</f>
        <v>0</v>
      </c>
      <c r="G234">
        <f>Raw_Data!E234</f>
        <v>1257.0999999999999</v>
      </c>
      <c r="H234">
        <f>Raw_Data!I234</f>
        <v>107306.41</v>
      </c>
      <c r="I234">
        <f>Raw_Data!J234</f>
        <v>0</v>
      </c>
      <c r="J234">
        <f t="shared" si="7"/>
        <v>2</v>
      </c>
      <c r="K234" t="str">
        <f t="shared" si="8"/>
        <v>Low Risk</v>
      </c>
    </row>
    <row r="235" spans="1:11" x14ac:dyDescent="0.35">
      <c r="A235">
        <f>Raw_Data!A235</f>
        <v>234</v>
      </c>
      <c r="B235">
        <f>Raw_Data!B235</f>
        <v>49</v>
      </c>
      <c r="C235">
        <f>Raw_Data!D235</f>
        <v>58</v>
      </c>
      <c r="D235">
        <f>Raw_Data!F235</f>
        <v>2</v>
      </c>
      <c r="E235">
        <f>Raw_Data!H235</f>
        <v>0</v>
      </c>
      <c r="F235">
        <f>Raw_Data!G235</f>
        <v>1</v>
      </c>
      <c r="G235">
        <f>Raw_Data!E235</f>
        <v>34722.519999999997</v>
      </c>
      <c r="H235">
        <f>Raw_Data!I235</f>
        <v>24123.919999999998</v>
      </c>
      <c r="I235">
        <f>Raw_Data!J235</f>
        <v>0</v>
      </c>
      <c r="J235">
        <f t="shared" si="7"/>
        <v>2</v>
      </c>
      <c r="K235" t="str">
        <f t="shared" si="8"/>
        <v>Low Risk</v>
      </c>
    </row>
    <row r="236" spans="1:11" x14ac:dyDescent="0.35">
      <c r="A236">
        <f>Raw_Data!A236</f>
        <v>235</v>
      </c>
      <c r="B236">
        <f>Raw_Data!B236</f>
        <v>50</v>
      </c>
      <c r="C236">
        <f>Raw_Data!D236</f>
        <v>61</v>
      </c>
      <c r="D236">
        <f>Raw_Data!F236</f>
        <v>1</v>
      </c>
      <c r="E236">
        <f>Raw_Data!H236</f>
        <v>1</v>
      </c>
      <c r="F236">
        <f>Raw_Data!G236</f>
        <v>0</v>
      </c>
      <c r="G236">
        <f>Raw_Data!E236</f>
        <v>4110.3500000000004</v>
      </c>
      <c r="H236">
        <f>Raw_Data!I236</f>
        <v>89545.67</v>
      </c>
      <c r="I236">
        <f>Raw_Data!J236</f>
        <v>0</v>
      </c>
      <c r="J236">
        <f t="shared" si="7"/>
        <v>0</v>
      </c>
      <c r="K236" t="str">
        <f t="shared" si="8"/>
        <v>Low Risk</v>
      </c>
    </row>
    <row r="237" spans="1:11" x14ac:dyDescent="0.35">
      <c r="A237">
        <f>Raw_Data!A237</f>
        <v>236</v>
      </c>
      <c r="B237">
        <f>Raw_Data!B237</f>
        <v>18</v>
      </c>
      <c r="C237">
        <f>Raw_Data!D237</f>
        <v>24</v>
      </c>
      <c r="D237">
        <f>Raw_Data!F237</f>
        <v>1</v>
      </c>
      <c r="E237">
        <f>Raw_Data!H237</f>
        <v>1</v>
      </c>
      <c r="F237">
        <f>Raw_Data!G237</f>
        <v>0</v>
      </c>
      <c r="G237">
        <f>Raw_Data!E237</f>
        <v>45533.83</v>
      </c>
      <c r="H237">
        <f>Raw_Data!I237</f>
        <v>24900.7</v>
      </c>
      <c r="I237">
        <f>Raw_Data!J237</f>
        <v>0</v>
      </c>
      <c r="J237">
        <f t="shared" si="7"/>
        <v>1</v>
      </c>
      <c r="K237" t="str">
        <f t="shared" si="8"/>
        <v>Low Risk</v>
      </c>
    </row>
    <row r="238" spans="1:11" x14ac:dyDescent="0.35">
      <c r="A238">
        <f>Raw_Data!A238</f>
        <v>237</v>
      </c>
      <c r="B238">
        <f>Raw_Data!B238</f>
        <v>36</v>
      </c>
      <c r="C238">
        <f>Raw_Data!D238</f>
        <v>20</v>
      </c>
      <c r="D238">
        <f>Raw_Data!F238</f>
        <v>1</v>
      </c>
      <c r="E238">
        <f>Raw_Data!H238</f>
        <v>0</v>
      </c>
      <c r="F238">
        <f>Raw_Data!G238</f>
        <v>0</v>
      </c>
      <c r="G238">
        <f>Raw_Data!E238</f>
        <v>23221.66</v>
      </c>
      <c r="H238">
        <f>Raw_Data!I238</f>
        <v>125048.82</v>
      </c>
      <c r="I238">
        <f>Raw_Data!J238</f>
        <v>0</v>
      </c>
      <c r="J238">
        <f t="shared" si="7"/>
        <v>2</v>
      </c>
      <c r="K238" t="str">
        <f t="shared" si="8"/>
        <v>Low Risk</v>
      </c>
    </row>
    <row r="239" spans="1:11" x14ac:dyDescent="0.35">
      <c r="A239">
        <f>Raw_Data!A239</f>
        <v>238</v>
      </c>
      <c r="B239">
        <f>Raw_Data!B239</f>
        <v>19</v>
      </c>
      <c r="C239">
        <f>Raw_Data!D239</f>
        <v>37</v>
      </c>
      <c r="D239">
        <f>Raw_Data!F239</f>
        <v>2</v>
      </c>
      <c r="E239">
        <f>Raw_Data!H239</f>
        <v>1</v>
      </c>
      <c r="F239">
        <f>Raw_Data!G239</f>
        <v>0</v>
      </c>
      <c r="G239">
        <f>Raw_Data!E239</f>
        <v>6876.19</v>
      </c>
      <c r="H239">
        <f>Raw_Data!I239</f>
        <v>61694.19</v>
      </c>
      <c r="I239">
        <f>Raw_Data!J239</f>
        <v>0</v>
      </c>
      <c r="J239">
        <f t="shared" si="7"/>
        <v>0</v>
      </c>
      <c r="K239" t="str">
        <f t="shared" si="8"/>
        <v>Low Risk</v>
      </c>
    </row>
    <row r="240" spans="1:11" x14ac:dyDescent="0.35">
      <c r="A240">
        <f>Raw_Data!A240</f>
        <v>239</v>
      </c>
      <c r="B240">
        <f>Raw_Data!B240</f>
        <v>61</v>
      </c>
      <c r="C240">
        <f>Raw_Data!D240</f>
        <v>4</v>
      </c>
      <c r="D240">
        <f>Raw_Data!F240</f>
        <v>3</v>
      </c>
      <c r="E240">
        <f>Raw_Data!H240</f>
        <v>0</v>
      </c>
      <c r="F240">
        <f>Raw_Data!G240</f>
        <v>0</v>
      </c>
      <c r="G240">
        <f>Raw_Data!E240</f>
        <v>17040.78</v>
      </c>
      <c r="H240">
        <f>Raw_Data!I240</f>
        <v>93115.82</v>
      </c>
      <c r="I240">
        <f>Raw_Data!J240</f>
        <v>0</v>
      </c>
      <c r="J240">
        <f t="shared" si="7"/>
        <v>5</v>
      </c>
      <c r="K240" t="str">
        <f t="shared" si="8"/>
        <v>High Risk</v>
      </c>
    </row>
    <row r="241" spans="1:11" x14ac:dyDescent="0.35">
      <c r="A241">
        <f>Raw_Data!A241</f>
        <v>240</v>
      </c>
      <c r="B241">
        <f>Raw_Data!B241</f>
        <v>43</v>
      </c>
      <c r="C241">
        <f>Raw_Data!D241</f>
        <v>20</v>
      </c>
      <c r="D241">
        <f>Raw_Data!F241</f>
        <v>1</v>
      </c>
      <c r="E241">
        <f>Raw_Data!H241</f>
        <v>0</v>
      </c>
      <c r="F241">
        <f>Raw_Data!G241</f>
        <v>0</v>
      </c>
      <c r="G241">
        <f>Raw_Data!E241</f>
        <v>8241.23</v>
      </c>
      <c r="H241">
        <f>Raw_Data!I241</f>
        <v>56327.89</v>
      </c>
      <c r="I241">
        <f>Raw_Data!J241</f>
        <v>0</v>
      </c>
      <c r="J241">
        <f t="shared" si="7"/>
        <v>2</v>
      </c>
      <c r="K241" t="str">
        <f t="shared" si="8"/>
        <v>Low Risk</v>
      </c>
    </row>
    <row r="242" spans="1:11" x14ac:dyDescent="0.35">
      <c r="A242">
        <f>Raw_Data!A242</f>
        <v>241</v>
      </c>
      <c r="B242">
        <f>Raw_Data!B242</f>
        <v>49</v>
      </c>
      <c r="C242">
        <f>Raw_Data!D242</f>
        <v>60</v>
      </c>
      <c r="D242">
        <f>Raw_Data!F242</f>
        <v>3</v>
      </c>
      <c r="E242">
        <f>Raw_Data!H242</f>
        <v>1</v>
      </c>
      <c r="F242">
        <f>Raw_Data!G242</f>
        <v>1</v>
      </c>
      <c r="G242">
        <f>Raw_Data!E242</f>
        <v>8529.1</v>
      </c>
      <c r="H242">
        <f>Raw_Data!I242</f>
        <v>121725.02</v>
      </c>
      <c r="I242">
        <f>Raw_Data!J242</f>
        <v>0</v>
      </c>
      <c r="J242">
        <f t="shared" si="7"/>
        <v>0</v>
      </c>
      <c r="K242" t="str">
        <f t="shared" si="8"/>
        <v>Low Risk</v>
      </c>
    </row>
    <row r="243" spans="1:11" x14ac:dyDescent="0.35">
      <c r="A243">
        <f>Raw_Data!A243</f>
        <v>242</v>
      </c>
      <c r="B243">
        <f>Raw_Data!B243</f>
        <v>23</v>
      </c>
      <c r="C243">
        <f>Raw_Data!D243</f>
        <v>24</v>
      </c>
      <c r="D243">
        <f>Raw_Data!F243</f>
        <v>1</v>
      </c>
      <c r="E243">
        <f>Raw_Data!H243</f>
        <v>0</v>
      </c>
      <c r="F243">
        <f>Raw_Data!G243</f>
        <v>0</v>
      </c>
      <c r="G243">
        <f>Raw_Data!E243</f>
        <v>47405.42</v>
      </c>
      <c r="H243">
        <f>Raw_Data!I243</f>
        <v>135245.32999999999</v>
      </c>
      <c r="I243">
        <f>Raw_Data!J243</f>
        <v>0</v>
      </c>
      <c r="J243">
        <f t="shared" si="7"/>
        <v>3</v>
      </c>
      <c r="K243" t="str">
        <f t="shared" si="8"/>
        <v>Medium Risk</v>
      </c>
    </row>
    <row r="244" spans="1:11" x14ac:dyDescent="0.35">
      <c r="A244">
        <f>Raw_Data!A244</f>
        <v>243</v>
      </c>
      <c r="B244">
        <f>Raw_Data!B244</f>
        <v>49</v>
      </c>
      <c r="C244">
        <f>Raw_Data!D244</f>
        <v>50</v>
      </c>
      <c r="D244">
        <f>Raw_Data!F244</f>
        <v>4</v>
      </c>
      <c r="E244">
        <f>Raw_Data!H244</f>
        <v>1</v>
      </c>
      <c r="F244">
        <f>Raw_Data!G244</f>
        <v>0</v>
      </c>
      <c r="G244">
        <f>Raw_Data!E244</f>
        <v>22262.31</v>
      </c>
      <c r="H244">
        <f>Raw_Data!I244</f>
        <v>71823.520000000004</v>
      </c>
      <c r="I244">
        <f>Raw_Data!J244</f>
        <v>0</v>
      </c>
      <c r="J244">
        <f t="shared" si="7"/>
        <v>2</v>
      </c>
      <c r="K244" t="str">
        <f t="shared" si="8"/>
        <v>Low Risk</v>
      </c>
    </row>
    <row r="245" spans="1:11" x14ac:dyDescent="0.35">
      <c r="A245">
        <f>Raw_Data!A245</f>
        <v>244</v>
      </c>
      <c r="B245">
        <f>Raw_Data!B245</f>
        <v>21</v>
      </c>
      <c r="C245">
        <f>Raw_Data!D245</f>
        <v>49</v>
      </c>
      <c r="D245">
        <f>Raw_Data!F245</f>
        <v>4</v>
      </c>
      <c r="E245">
        <f>Raw_Data!H245</f>
        <v>1</v>
      </c>
      <c r="F245">
        <f>Raw_Data!G245</f>
        <v>1</v>
      </c>
      <c r="G245">
        <f>Raw_Data!E245</f>
        <v>39440.11</v>
      </c>
      <c r="H245">
        <f>Raw_Data!I245</f>
        <v>132179.91</v>
      </c>
      <c r="I245">
        <f>Raw_Data!J245</f>
        <v>0</v>
      </c>
      <c r="J245">
        <f t="shared" si="7"/>
        <v>2</v>
      </c>
      <c r="K245" t="str">
        <f t="shared" si="8"/>
        <v>Low Risk</v>
      </c>
    </row>
    <row r="246" spans="1:11" x14ac:dyDescent="0.35">
      <c r="A246">
        <f>Raw_Data!A246</f>
        <v>245</v>
      </c>
      <c r="B246">
        <f>Raw_Data!B246</f>
        <v>28</v>
      </c>
      <c r="C246">
        <f>Raw_Data!D246</f>
        <v>51</v>
      </c>
      <c r="D246">
        <f>Raw_Data!F246</f>
        <v>1</v>
      </c>
      <c r="E246">
        <f>Raw_Data!H246</f>
        <v>0</v>
      </c>
      <c r="F246">
        <f>Raw_Data!G246</f>
        <v>0</v>
      </c>
      <c r="G246">
        <f>Raw_Data!E246</f>
        <v>31980.28</v>
      </c>
      <c r="H246">
        <f>Raw_Data!I246</f>
        <v>54719.75</v>
      </c>
      <c r="I246">
        <f>Raw_Data!J246</f>
        <v>0</v>
      </c>
      <c r="J246">
        <f t="shared" si="7"/>
        <v>2</v>
      </c>
      <c r="K246" t="str">
        <f t="shared" si="8"/>
        <v>Low Risk</v>
      </c>
    </row>
    <row r="247" spans="1:11" x14ac:dyDescent="0.35">
      <c r="A247">
        <f>Raw_Data!A247</f>
        <v>246</v>
      </c>
      <c r="B247">
        <f>Raw_Data!B247</f>
        <v>34</v>
      </c>
      <c r="C247">
        <f>Raw_Data!D247</f>
        <v>36</v>
      </c>
      <c r="D247">
        <f>Raw_Data!F247</f>
        <v>2</v>
      </c>
      <c r="E247">
        <f>Raw_Data!H247</f>
        <v>0</v>
      </c>
      <c r="F247">
        <f>Raw_Data!G247</f>
        <v>1</v>
      </c>
      <c r="G247">
        <f>Raw_Data!E247</f>
        <v>33821.32</v>
      </c>
      <c r="H247">
        <f>Raw_Data!I247</f>
        <v>89505.919999999998</v>
      </c>
      <c r="I247">
        <f>Raw_Data!J247</f>
        <v>0</v>
      </c>
      <c r="J247">
        <f t="shared" si="7"/>
        <v>2</v>
      </c>
      <c r="K247" t="str">
        <f t="shared" si="8"/>
        <v>Low Risk</v>
      </c>
    </row>
    <row r="248" spans="1:11" x14ac:dyDescent="0.35">
      <c r="A248">
        <f>Raw_Data!A248</f>
        <v>247</v>
      </c>
      <c r="B248">
        <f>Raw_Data!B248</f>
        <v>55</v>
      </c>
      <c r="C248">
        <f>Raw_Data!D248</f>
        <v>66</v>
      </c>
      <c r="D248">
        <f>Raw_Data!F248</f>
        <v>1</v>
      </c>
      <c r="E248">
        <f>Raw_Data!H248</f>
        <v>0</v>
      </c>
      <c r="F248">
        <f>Raw_Data!G248</f>
        <v>1</v>
      </c>
      <c r="G248">
        <f>Raw_Data!E248</f>
        <v>6584.67</v>
      </c>
      <c r="H248">
        <f>Raw_Data!I248</f>
        <v>131638.99</v>
      </c>
      <c r="I248">
        <f>Raw_Data!J248</f>
        <v>0</v>
      </c>
      <c r="J248">
        <f t="shared" si="7"/>
        <v>2</v>
      </c>
      <c r="K248" t="str">
        <f t="shared" si="8"/>
        <v>Low Risk</v>
      </c>
    </row>
    <row r="249" spans="1:11" x14ac:dyDescent="0.35">
      <c r="A249">
        <f>Raw_Data!A249</f>
        <v>248</v>
      </c>
      <c r="B249">
        <f>Raw_Data!B249</f>
        <v>41</v>
      </c>
      <c r="C249">
        <f>Raw_Data!D249</f>
        <v>34</v>
      </c>
      <c r="D249">
        <f>Raw_Data!F249</f>
        <v>1</v>
      </c>
      <c r="E249">
        <f>Raw_Data!H249</f>
        <v>1</v>
      </c>
      <c r="F249">
        <f>Raw_Data!G249</f>
        <v>1</v>
      </c>
      <c r="G249">
        <f>Raw_Data!E249</f>
        <v>11709.22</v>
      </c>
      <c r="H249">
        <f>Raw_Data!I249</f>
        <v>62364.57</v>
      </c>
      <c r="I249">
        <f>Raw_Data!J249</f>
        <v>0</v>
      </c>
      <c r="J249">
        <f t="shared" si="7"/>
        <v>0</v>
      </c>
      <c r="K249" t="str">
        <f t="shared" si="8"/>
        <v>Low Risk</v>
      </c>
    </row>
    <row r="250" spans="1:11" x14ac:dyDescent="0.35">
      <c r="A250">
        <f>Raw_Data!A250</f>
        <v>249</v>
      </c>
      <c r="B250">
        <f>Raw_Data!B250</f>
        <v>22</v>
      </c>
      <c r="C250">
        <f>Raw_Data!D250</f>
        <v>36</v>
      </c>
      <c r="D250">
        <f>Raw_Data!F250</f>
        <v>2</v>
      </c>
      <c r="E250">
        <f>Raw_Data!H250</f>
        <v>0</v>
      </c>
      <c r="F250">
        <f>Raw_Data!G250</f>
        <v>0</v>
      </c>
      <c r="G250">
        <f>Raw_Data!E250</f>
        <v>39337.519999999997</v>
      </c>
      <c r="H250">
        <f>Raw_Data!I250</f>
        <v>144025.49</v>
      </c>
      <c r="I250">
        <f>Raw_Data!J250</f>
        <v>0</v>
      </c>
      <c r="J250">
        <f t="shared" si="7"/>
        <v>2</v>
      </c>
      <c r="K250" t="str">
        <f t="shared" si="8"/>
        <v>Low Risk</v>
      </c>
    </row>
    <row r="251" spans="1:11" x14ac:dyDescent="0.35">
      <c r="A251">
        <f>Raw_Data!A251</f>
        <v>250</v>
      </c>
      <c r="B251">
        <f>Raw_Data!B251</f>
        <v>69</v>
      </c>
      <c r="C251">
        <f>Raw_Data!D251</f>
        <v>6</v>
      </c>
      <c r="D251">
        <f>Raw_Data!F251</f>
        <v>4</v>
      </c>
      <c r="E251">
        <f>Raw_Data!H251</f>
        <v>1</v>
      </c>
      <c r="F251">
        <f>Raw_Data!G251</f>
        <v>0</v>
      </c>
      <c r="G251">
        <f>Raw_Data!E251</f>
        <v>48538.31</v>
      </c>
      <c r="H251">
        <f>Raw_Data!I251</f>
        <v>35844.339999999997</v>
      </c>
      <c r="I251">
        <f>Raw_Data!J251</f>
        <v>0</v>
      </c>
      <c r="J251">
        <f t="shared" si="7"/>
        <v>6</v>
      </c>
      <c r="K251" t="str">
        <f t="shared" si="8"/>
        <v>High Risk</v>
      </c>
    </row>
    <row r="252" spans="1:11" x14ac:dyDescent="0.35">
      <c r="A252">
        <f>Raw_Data!A252</f>
        <v>251</v>
      </c>
      <c r="B252">
        <f>Raw_Data!B252</f>
        <v>51</v>
      </c>
      <c r="C252">
        <f>Raw_Data!D252</f>
        <v>39</v>
      </c>
      <c r="D252">
        <f>Raw_Data!F252</f>
        <v>3</v>
      </c>
      <c r="E252">
        <f>Raw_Data!H252</f>
        <v>1</v>
      </c>
      <c r="F252">
        <f>Raw_Data!G252</f>
        <v>1</v>
      </c>
      <c r="G252">
        <f>Raw_Data!E252</f>
        <v>13133.78</v>
      </c>
      <c r="H252">
        <f>Raw_Data!I252</f>
        <v>22375.759999999998</v>
      </c>
      <c r="I252">
        <f>Raw_Data!J252</f>
        <v>0</v>
      </c>
      <c r="J252">
        <f t="shared" si="7"/>
        <v>0</v>
      </c>
      <c r="K252" t="str">
        <f t="shared" si="8"/>
        <v>Low Risk</v>
      </c>
    </row>
    <row r="253" spans="1:11" x14ac:dyDescent="0.35">
      <c r="A253">
        <f>Raw_Data!A253</f>
        <v>252</v>
      </c>
      <c r="B253">
        <f>Raw_Data!B253</f>
        <v>23</v>
      </c>
      <c r="C253">
        <f>Raw_Data!D253</f>
        <v>42</v>
      </c>
      <c r="D253">
        <f>Raw_Data!F253</f>
        <v>1</v>
      </c>
      <c r="E253">
        <f>Raw_Data!H253</f>
        <v>0</v>
      </c>
      <c r="F253">
        <f>Raw_Data!G253</f>
        <v>0</v>
      </c>
      <c r="G253">
        <f>Raw_Data!E253</f>
        <v>13578.44</v>
      </c>
      <c r="H253">
        <f>Raw_Data!I253</f>
        <v>137537.60000000001</v>
      </c>
      <c r="I253">
        <f>Raw_Data!J253</f>
        <v>0</v>
      </c>
      <c r="J253">
        <f t="shared" si="7"/>
        <v>2</v>
      </c>
      <c r="K253" t="str">
        <f t="shared" si="8"/>
        <v>Low Risk</v>
      </c>
    </row>
    <row r="254" spans="1:11" x14ac:dyDescent="0.35">
      <c r="A254">
        <f>Raw_Data!A254</f>
        <v>253</v>
      </c>
      <c r="B254">
        <f>Raw_Data!B254</f>
        <v>39</v>
      </c>
      <c r="C254">
        <f>Raw_Data!D254</f>
        <v>58</v>
      </c>
      <c r="D254">
        <f>Raw_Data!F254</f>
        <v>2</v>
      </c>
      <c r="E254">
        <f>Raw_Data!H254</f>
        <v>1</v>
      </c>
      <c r="F254">
        <f>Raw_Data!G254</f>
        <v>0</v>
      </c>
      <c r="G254">
        <f>Raw_Data!E254</f>
        <v>23644.86</v>
      </c>
      <c r="H254">
        <f>Raw_Data!I254</f>
        <v>28924.33</v>
      </c>
      <c r="I254">
        <f>Raw_Data!J254</f>
        <v>0</v>
      </c>
      <c r="J254">
        <f t="shared" si="7"/>
        <v>0</v>
      </c>
      <c r="K254" t="str">
        <f t="shared" si="8"/>
        <v>Low Risk</v>
      </c>
    </row>
    <row r="255" spans="1:11" x14ac:dyDescent="0.35">
      <c r="A255">
        <f>Raw_Data!A255</f>
        <v>254</v>
      </c>
      <c r="B255">
        <f>Raw_Data!B255</f>
        <v>28</v>
      </c>
      <c r="C255">
        <f>Raw_Data!D255</f>
        <v>12</v>
      </c>
      <c r="D255">
        <f>Raw_Data!F255</f>
        <v>1</v>
      </c>
      <c r="E255">
        <f>Raw_Data!H255</f>
        <v>0</v>
      </c>
      <c r="F255">
        <f>Raw_Data!G255</f>
        <v>1</v>
      </c>
      <c r="G255">
        <f>Raw_Data!E255</f>
        <v>49192.02</v>
      </c>
      <c r="H255">
        <f>Raw_Data!I255</f>
        <v>148945.60000000001</v>
      </c>
      <c r="I255">
        <f>Raw_Data!J255</f>
        <v>0</v>
      </c>
      <c r="J255">
        <f t="shared" si="7"/>
        <v>5</v>
      </c>
      <c r="K255" t="str">
        <f t="shared" si="8"/>
        <v>High Risk</v>
      </c>
    </row>
    <row r="256" spans="1:11" x14ac:dyDescent="0.35">
      <c r="A256">
        <f>Raw_Data!A256</f>
        <v>255</v>
      </c>
      <c r="B256">
        <f>Raw_Data!B256</f>
        <v>65</v>
      </c>
      <c r="C256">
        <f>Raw_Data!D256</f>
        <v>3</v>
      </c>
      <c r="D256">
        <f>Raw_Data!F256</f>
        <v>2</v>
      </c>
      <c r="E256">
        <f>Raw_Data!H256</f>
        <v>0</v>
      </c>
      <c r="F256">
        <f>Raw_Data!G256</f>
        <v>1</v>
      </c>
      <c r="G256">
        <f>Raw_Data!E256</f>
        <v>13447.95</v>
      </c>
      <c r="H256">
        <f>Raw_Data!I256</f>
        <v>143681.59</v>
      </c>
      <c r="I256">
        <f>Raw_Data!J256</f>
        <v>0</v>
      </c>
      <c r="J256">
        <f t="shared" si="7"/>
        <v>5</v>
      </c>
      <c r="K256" t="str">
        <f t="shared" si="8"/>
        <v>High Risk</v>
      </c>
    </row>
    <row r="257" spans="1:11" x14ac:dyDescent="0.35">
      <c r="A257">
        <f>Raw_Data!A257</f>
        <v>256</v>
      </c>
      <c r="B257">
        <f>Raw_Data!B257</f>
        <v>33</v>
      </c>
      <c r="C257">
        <f>Raw_Data!D257</f>
        <v>18</v>
      </c>
      <c r="D257">
        <f>Raw_Data!F257</f>
        <v>3</v>
      </c>
      <c r="E257">
        <f>Raw_Data!H257</f>
        <v>0</v>
      </c>
      <c r="F257">
        <f>Raw_Data!G257</f>
        <v>0</v>
      </c>
      <c r="G257">
        <f>Raw_Data!E257</f>
        <v>20348.599999999999</v>
      </c>
      <c r="H257">
        <f>Raw_Data!I257</f>
        <v>37812.720000000001</v>
      </c>
      <c r="I257">
        <f>Raw_Data!J257</f>
        <v>0</v>
      </c>
      <c r="J257">
        <f t="shared" si="7"/>
        <v>2</v>
      </c>
      <c r="K257" t="str">
        <f t="shared" si="8"/>
        <v>Low Risk</v>
      </c>
    </row>
    <row r="258" spans="1:11" x14ac:dyDescent="0.35">
      <c r="A258">
        <f>Raw_Data!A258</f>
        <v>257</v>
      </c>
      <c r="B258">
        <f>Raw_Data!B258</f>
        <v>50</v>
      </c>
      <c r="C258">
        <f>Raw_Data!D258</f>
        <v>40</v>
      </c>
      <c r="D258">
        <f>Raw_Data!F258</f>
        <v>3</v>
      </c>
      <c r="E258">
        <f>Raw_Data!H258</f>
        <v>0</v>
      </c>
      <c r="F258">
        <f>Raw_Data!G258</f>
        <v>1</v>
      </c>
      <c r="G258">
        <f>Raw_Data!E258</f>
        <v>44574</v>
      </c>
      <c r="H258">
        <f>Raw_Data!I258</f>
        <v>89886</v>
      </c>
      <c r="I258">
        <f>Raw_Data!J258</f>
        <v>0</v>
      </c>
      <c r="J258">
        <f t="shared" si="7"/>
        <v>3</v>
      </c>
      <c r="K258" t="str">
        <f t="shared" si="8"/>
        <v>Medium Risk</v>
      </c>
    </row>
    <row r="259" spans="1:11" x14ac:dyDescent="0.35">
      <c r="A259">
        <f>Raw_Data!A259</f>
        <v>258</v>
      </c>
      <c r="B259">
        <f>Raw_Data!B259</f>
        <v>26</v>
      </c>
      <c r="C259">
        <f>Raw_Data!D259</f>
        <v>21</v>
      </c>
      <c r="D259">
        <f>Raw_Data!F259</f>
        <v>4</v>
      </c>
      <c r="E259">
        <f>Raw_Data!H259</f>
        <v>0</v>
      </c>
      <c r="F259">
        <f>Raw_Data!G259</f>
        <v>1</v>
      </c>
      <c r="G259">
        <f>Raw_Data!E259</f>
        <v>146.05000000000001</v>
      </c>
      <c r="H259">
        <f>Raw_Data!I259</f>
        <v>44039.64</v>
      </c>
      <c r="I259">
        <f>Raw_Data!J259</f>
        <v>0</v>
      </c>
      <c r="J259">
        <f t="shared" ref="J259:J322" si="9">IF(E259=0,2,0)+IF(D259=4,2,0)+IF(C259&lt;=12,2,0)+IF(B259&gt;=56,1,0)+IF(G259&gt;=40000,1,0)</f>
        <v>4</v>
      </c>
      <c r="K259" t="str">
        <f t="shared" ref="K259:K322" si="10">IF(J259&gt;=5,"High Risk",IF(J259&gt;=3,"Medium Risk","Low Risk"))</f>
        <v>Medium Risk</v>
      </c>
    </row>
    <row r="260" spans="1:11" x14ac:dyDescent="0.35">
      <c r="A260">
        <f>Raw_Data!A260</f>
        <v>259</v>
      </c>
      <c r="B260">
        <f>Raw_Data!B260</f>
        <v>23</v>
      </c>
      <c r="C260">
        <f>Raw_Data!D260</f>
        <v>15</v>
      </c>
      <c r="D260">
        <f>Raw_Data!F260</f>
        <v>2</v>
      </c>
      <c r="E260">
        <f>Raw_Data!H260</f>
        <v>0</v>
      </c>
      <c r="F260">
        <f>Raw_Data!G260</f>
        <v>1</v>
      </c>
      <c r="G260">
        <f>Raw_Data!E260</f>
        <v>1988.3</v>
      </c>
      <c r="H260">
        <f>Raw_Data!I260</f>
        <v>75660.17</v>
      </c>
      <c r="I260">
        <f>Raw_Data!J260</f>
        <v>0</v>
      </c>
      <c r="J260">
        <f t="shared" si="9"/>
        <v>2</v>
      </c>
      <c r="K260" t="str">
        <f t="shared" si="10"/>
        <v>Low Risk</v>
      </c>
    </row>
    <row r="261" spans="1:11" x14ac:dyDescent="0.35">
      <c r="A261">
        <f>Raw_Data!A261</f>
        <v>260</v>
      </c>
      <c r="B261">
        <f>Raw_Data!B261</f>
        <v>33</v>
      </c>
      <c r="C261">
        <f>Raw_Data!D261</f>
        <v>26</v>
      </c>
      <c r="D261">
        <f>Raw_Data!F261</f>
        <v>2</v>
      </c>
      <c r="E261">
        <f>Raw_Data!H261</f>
        <v>0</v>
      </c>
      <c r="F261">
        <f>Raw_Data!G261</f>
        <v>0</v>
      </c>
      <c r="G261">
        <f>Raw_Data!E261</f>
        <v>30203.58</v>
      </c>
      <c r="H261">
        <f>Raw_Data!I261</f>
        <v>27985.27</v>
      </c>
      <c r="I261">
        <f>Raw_Data!J261</f>
        <v>0</v>
      </c>
      <c r="J261">
        <f t="shared" si="9"/>
        <v>2</v>
      </c>
      <c r="K261" t="str">
        <f t="shared" si="10"/>
        <v>Low Risk</v>
      </c>
    </row>
    <row r="262" spans="1:11" x14ac:dyDescent="0.35">
      <c r="A262">
        <f>Raw_Data!A262</f>
        <v>261</v>
      </c>
      <c r="B262">
        <f>Raw_Data!B262</f>
        <v>46</v>
      </c>
      <c r="C262">
        <f>Raw_Data!D262</f>
        <v>8</v>
      </c>
      <c r="D262">
        <f>Raw_Data!F262</f>
        <v>4</v>
      </c>
      <c r="E262">
        <f>Raw_Data!H262</f>
        <v>1</v>
      </c>
      <c r="F262">
        <f>Raw_Data!G262</f>
        <v>0</v>
      </c>
      <c r="G262">
        <f>Raw_Data!E262</f>
        <v>45369.01</v>
      </c>
      <c r="H262">
        <f>Raw_Data!I262</f>
        <v>49110.2</v>
      </c>
      <c r="I262">
        <f>Raw_Data!J262</f>
        <v>0</v>
      </c>
      <c r="J262">
        <f t="shared" si="9"/>
        <v>5</v>
      </c>
      <c r="K262" t="str">
        <f t="shared" si="10"/>
        <v>High Risk</v>
      </c>
    </row>
    <row r="263" spans="1:11" x14ac:dyDescent="0.35">
      <c r="A263">
        <f>Raw_Data!A263</f>
        <v>262</v>
      </c>
      <c r="B263">
        <f>Raw_Data!B263</f>
        <v>20</v>
      </c>
      <c r="C263">
        <f>Raw_Data!D263</f>
        <v>42</v>
      </c>
      <c r="D263">
        <f>Raw_Data!F263</f>
        <v>4</v>
      </c>
      <c r="E263">
        <f>Raw_Data!H263</f>
        <v>0</v>
      </c>
      <c r="F263">
        <f>Raw_Data!G263</f>
        <v>0</v>
      </c>
      <c r="G263">
        <f>Raw_Data!E263</f>
        <v>11942.83</v>
      </c>
      <c r="H263">
        <f>Raw_Data!I263</f>
        <v>67225.460000000006</v>
      </c>
      <c r="I263">
        <f>Raw_Data!J263</f>
        <v>0</v>
      </c>
      <c r="J263">
        <f t="shared" si="9"/>
        <v>4</v>
      </c>
      <c r="K263" t="str">
        <f t="shared" si="10"/>
        <v>Medium Risk</v>
      </c>
    </row>
    <row r="264" spans="1:11" x14ac:dyDescent="0.35">
      <c r="A264">
        <f>Raw_Data!A264</f>
        <v>263</v>
      </c>
      <c r="B264">
        <f>Raw_Data!B264</f>
        <v>37</v>
      </c>
      <c r="C264">
        <f>Raw_Data!D264</f>
        <v>44</v>
      </c>
      <c r="D264">
        <f>Raw_Data!F264</f>
        <v>2</v>
      </c>
      <c r="E264">
        <f>Raw_Data!H264</f>
        <v>1</v>
      </c>
      <c r="F264">
        <f>Raw_Data!G264</f>
        <v>1</v>
      </c>
      <c r="G264">
        <f>Raw_Data!E264</f>
        <v>23482.09</v>
      </c>
      <c r="H264">
        <f>Raw_Data!I264</f>
        <v>77024.179999999993</v>
      </c>
      <c r="I264">
        <f>Raw_Data!J264</f>
        <v>0</v>
      </c>
      <c r="J264">
        <f t="shared" si="9"/>
        <v>0</v>
      </c>
      <c r="K264" t="str">
        <f t="shared" si="10"/>
        <v>Low Risk</v>
      </c>
    </row>
    <row r="265" spans="1:11" x14ac:dyDescent="0.35">
      <c r="A265">
        <f>Raw_Data!A265</f>
        <v>264</v>
      </c>
      <c r="B265">
        <f>Raw_Data!B265</f>
        <v>53</v>
      </c>
      <c r="C265">
        <f>Raw_Data!D265</f>
        <v>14</v>
      </c>
      <c r="D265">
        <f>Raw_Data!F265</f>
        <v>4</v>
      </c>
      <c r="E265">
        <f>Raw_Data!H265</f>
        <v>1</v>
      </c>
      <c r="F265">
        <f>Raw_Data!G265</f>
        <v>0</v>
      </c>
      <c r="G265">
        <f>Raw_Data!E265</f>
        <v>22523.27</v>
      </c>
      <c r="H265">
        <f>Raw_Data!I265</f>
        <v>147074.51</v>
      </c>
      <c r="I265">
        <f>Raw_Data!J265</f>
        <v>0</v>
      </c>
      <c r="J265">
        <f t="shared" si="9"/>
        <v>2</v>
      </c>
      <c r="K265" t="str">
        <f t="shared" si="10"/>
        <v>Low Risk</v>
      </c>
    </row>
    <row r="266" spans="1:11" x14ac:dyDescent="0.35">
      <c r="A266">
        <f>Raw_Data!A266</f>
        <v>265</v>
      </c>
      <c r="B266">
        <f>Raw_Data!B266</f>
        <v>36</v>
      </c>
      <c r="C266">
        <f>Raw_Data!D266</f>
        <v>2</v>
      </c>
      <c r="D266">
        <f>Raw_Data!F266</f>
        <v>3</v>
      </c>
      <c r="E266">
        <f>Raw_Data!H266</f>
        <v>1</v>
      </c>
      <c r="F266">
        <f>Raw_Data!G266</f>
        <v>1</v>
      </c>
      <c r="G266">
        <f>Raw_Data!E266</f>
        <v>23648.57</v>
      </c>
      <c r="H266">
        <f>Raw_Data!I266</f>
        <v>125022.53</v>
      </c>
      <c r="I266">
        <f>Raw_Data!J266</f>
        <v>0</v>
      </c>
      <c r="J266">
        <f t="shared" si="9"/>
        <v>2</v>
      </c>
      <c r="K266" t="str">
        <f t="shared" si="10"/>
        <v>Low Risk</v>
      </c>
    </row>
    <row r="267" spans="1:11" x14ac:dyDescent="0.35">
      <c r="A267">
        <f>Raw_Data!A267</f>
        <v>266</v>
      </c>
      <c r="B267">
        <f>Raw_Data!B267</f>
        <v>43</v>
      </c>
      <c r="C267">
        <f>Raw_Data!D267</f>
        <v>37</v>
      </c>
      <c r="D267">
        <f>Raw_Data!F267</f>
        <v>1</v>
      </c>
      <c r="E267">
        <f>Raw_Data!H267</f>
        <v>0</v>
      </c>
      <c r="F267">
        <f>Raw_Data!G267</f>
        <v>0</v>
      </c>
      <c r="G267">
        <f>Raw_Data!E267</f>
        <v>31125.98</v>
      </c>
      <c r="H267">
        <f>Raw_Data!I267</f>
        <v>115863.29</v>
      </c>
      <c r="I267">
        <f>Raw_Data!J267</f>
        <v>0</v>
      </c>
      <c r="J267">
        <f t="shared" si="9"/>
        <v>2</v>
      </c>
      <c r="K267" t="str">
        <f t="shared" si="10"/>
        <v>Low Risk</v>
      </c>
    </row>
    <row r="268" spans="1:11" x14ac:dyDescent="0.35">
      <c r="A268">
        <f>Raw_Data!A268</f>
        <v>267</v>
      </c>
      <c r="B268">
        <f>Raw_Data!B268</f>
        <v>20</v>
      </c>
      <c r="C268">
        <f>Raw_Data!D268</f>
        <v>69</v>
      </c>
      <c r="D268">
        <f>Raw_Data!F268</f>
        <v>3</v>
      </c>
      <c r="E268">
        <f>Raw_Data!H268</f>
        <v>1</v>
      </c>
      <c r="F268">
        <f>Raw_Data!G268</f>
        <v>0</v>
      </c>
      <c r="G268">
        <f>Raw_Data!E268</f>
        <v>23487.19</v>
      </c>
      <c r="H268">
        <f>Raw_Data!I268</f>
        <v>89815.37</v>
      </c>
      <c r="I268">
        <f>Raw_Data!J268</f>
        <v>0</v>
      </c>
      <c r="J268">
        <f t="shared" si="9"/>
        <v>0</v>
      </c>
      <c r="K268" t="str">
        <f t="shared" si="10"/>
        <v>Low Risk</v>
      </c>
    </row>
    <row r="269" spans="1:11" x14ac:dyDescent="0.35">
      <c r="A269">
        <f>Raw_Data!A269</f>
        <v>268</v>
      </c>
      <c r="B269">
        <f>Raw_Data!B269</f>
        <v>36</v>
      </c>
      <c r="C269">
        <f>Raw_Data!D269</f>
        <v>38</v>
      </c>
      <c r="D269">
        <f>Raw_Data!F269</f>
        <v>4</v>
      </c>
      <c r="E269">
        <f>Raw_Data!H269</f>
        <v>1</v>
      </c>
      <c r="F269">
        <f>Raw_Data!G269</f>
        <v>1</v>
      </c>
      <c r="G269">
        <f>Raw_Data!E269</f>
        <v>22373.41</v>
      </c>
      <c r="H269">
        <f>Raw_Data!I269</f>
        <v>129199.71</v>
      </c>
      <c r="I269">
        <f>Raw_Data!J269</f>
        <v>0</v>
      </c>
      <c r="J269">
        <f t="shared" si="9"/>
        <v>2</v>
      </c>
      <c r="K269" t="str">
        <f t="shared" si="10"/>
        <v>Low Risk</v>
      </c>
    </row>
    <row r="270" spans="1:11" x14ac:dyDescent="0.35">
      <c r="A270">
        <f>Raw_Data!A270</f>
        <v>269</v>
      </c>
      <c r="B270">
        <f>Raw_Data!B270</f>
        <v>37</v>
      </c>
      <c r="C270">
        <f>Raw_Data!D270</f>
        <v>41</v>
      </c>
      <c r="D270">
        <f>Raw_Data!F270</f>
        <v>2</v>
      </c>
      <c r="E270">
        <f>Raw_Data!H270</f>
        <v>0</v>
      </c>
      <c r="F270">
        <f>Raw_Data!G270</f>
        <v>0</v>
      </c>
      <c r="G270">
        <f>Raw_Data!E270</f>
        <v>23714.42</v>
      </c>
      <c r="H270">
        <f>Raw_Data!I270</f>
        <v>64111.97</v>
      </c>
      <c r="I270">
        <f>Raw_Data!J270</f>
        <v>0</v>
      </c>
      <c r="J270">
        <f t="shared" si="9"/>
        <v>2</v>
      </c>
      <c r="K270" t="str">
        <f t="shared" si="10"/>
        <v>Low Risk</v>
      </c>
    </row>
    <row r="271" spans="1:11" x14ac:dyDescent="0.35">
      <c r="A271">
        <f>Raw_Data!A271</f>
        <v>270</v>
      </c>
      <c r="B271">
        <f>Raw_Data!B271</f>
        <v>49</v>
      </c>
      <c r="C271">
        <f>Raw_Data!D271</f>
        <v>62</v>
      </c>
      <c r="D271">
        <f>Raw_Data!F271</f>
        <v>2</v>
      </c>
      <c r="E271">
        <f>Raw_Data!H271</f>
        <v>0</v>
      </c>
      <c r="F271">
        <f>Raw_Data!G271</f>
        <v>1</v>
      </c>
      <c r="G271">
        <f>Raw_Data!E271</f>
        <v>29543.37</v>
      </c>
      <c r="H271">
        <f>Raw_Data!I271</f>
        <v>112156.88</v>
      </c>
      <c r="I271">
        <f>Raw_Data!J271</f>
        <v>0</v>
      </c>
      <c r="J271">
        <f t="shared" si="9"/>
        <v>2</v>
      </c>
      <c r="K271" t="str">
        <f t="shared" si="10"/>
        <v>Low Risk</v>
      </c>
    </row>
    <row r="272" spans="1:11" x14ac:dyDescent="0.35">
      <c r="A272">
        <f>Raw_Data!A272</f>
        <v>271</v>
      </c>
      <c r="B272">
        <f>Raw_Data!B272</f>
        <v>24</v>
      </c>
      <c r="C272">
        <f>Raw_Data!D272</f>
        <v>60</v>
      </c>
      <c r="D272">
        <f>Raw_Data!F272</f>
        <v>3</v>
      </c>
      <c r="E272">
        <f>Raw_Data!H272</f>
        <v>1</v>
      </c>
      <c r="F272">
        <f>Raw_Data!G272</f>
        <v>0</v>
      </c>
      <c r="G272">
        <f>Raw_Data!E272</f>
        <v>26850.37</v>
      </c>
      <c r="H272">
        <f>Raw_Data!I272</f>
        <v>149191.92000000001</v>
      </c>
      <c r="I272">
        <f>Raw_Data!J272</f>
        <v>0</v>
      </c>
      <c r="J272">
        <f t="shared" si="9"/>
        <v>0</v>
      </c>
      <c r="K272" t="str">
        <f t="shared" si="10"/>
        <v>Low Risk</v>
      </c>
    </row>
    <row r="273" spans="1:11" x14ac:dyDescent="0.35">
      <c r="A273">
        <f>Raw_Data!A273</f>
        <v>272</v>
      </c>
      <c r="B273">
        <f>Raw_Data!B273</f>
        <v>69</v>
      </c>
      <c r="C273">
        <f>Raw_Data!D273</f>
        <v>14</v>
      </c>
      <c r="D273">
        <f>Raw_Data!F273</f>
        <v>2</v>
      </c>
      <c r="E273">
        <f>Raw_Data!H273</f>
        <v>0</v>
      </c>
      <c r="F273">
        <f>Raw_Data!G273</f>
        <v>0</v>
      </c>
      <c r="G273">
        <f>Raw_Data!E273</f>
        <v>42706.8</v>
      </c>
      <c r="H273">
        <f>Raw_Data!I273</f>
        <v>60901.760000000002</v>
      </c>
      <c r="I273">
        <f>Raw_Data!J273</f>
        <v>0</v>
      </c>
      <c r="J273">
        <f t="shared" si="9"/>
        <v>4</v>
      </c>
      <c r="K273" t="str">
        <f t="shared" si="10"/>
        <v>Medium Risk</v>
      </c>
    </row>
    <row r="274" spans="1:11" x14ac:dyDescent="0.35">
      <c r="A274">
        <f>Raw_Data!A274</f>
        <v>273</v>
      </c>
      <c r="B274">
        <f>Raw_Data!B274</f>
        <v>58</v>
      </c>
      <c r="C274">
        <f>Raw_Data!D274</f>
        <v>2</v>
      </c>
      <c r="D274">
        <f>Raw_Data!F274</f>
        <v>4</v>
      </c>
      <c r="E274">
        <f>Raw_Data!H274</f>
        <v>0</v>
      </c>
      <c r="F274">
        <f>Raw_Data!G274</f>
        <v>1</v>
      </c>
      <c r="G274">
        <f>Raw_Data!E274</f>
        <v>2474.84</v>
      </c>
      <c r="H274">
        <f>Raw_Data!I274</f>
        <v>107622.28</v>
      </c>
      <c r="I274">
        <f>Raw_Data!J274</f>
        <v>1</v>
      </c>
      <c r="J274">
        <f t="shared" si="9"/>
        <v>7</v>
      </c>
      <c r="K274" t="str">
        <f t="shared" si="10"/>
        <v>High Risk</v>
      </c>
    </row>
    <row r="275" spans="1:11" x14ac:dyDescent="0.35">
      <c r="A275">
        <f>Raw_Data!A275</f>
        <v>274</v>
      </c>
      <c r="B275">
        <f>Raw_Data!B275</f>
        <v>50</v>
      </c>
      <c r="C275">
        <f>Raw_Data!D275</f>
        <v>70</v>
      </c>
      <c r="D275">
        <f>Raw_Data!F275</f>
        <v>3</v>
      </c>
      <c r="E275">
        <f>Raw_Data!H275</f>
        <v>0</v>
      </c>
      <c r="F275">
        <f>Raw_Data!G275</f>
        <v>1</v>
      </c>
      <c r="G275">
        <f>Raw_Data!E275</f>
        <v>41665.85</v>
      </c>
      <c r="H275">
        <f>Raw_Data!I275</f>
        <v>129760.93</v>
      </c>
      <c r="I275">
        <f>Raw_Data!J275</f>
        <v>0</v>
      </c>
      <c r="J275">
        <f t="shared" si="9"/>
        <v>3</v>
      </c>
      <c r="K275" t="str">
        <f t="shared" si="10"/>
        <v>Medium Risk</v>
      </c>
    </row>
    <row r="276" spans="1:11" x14ac:dyDescent="0.35">
      <c r="A276">
        <f>Raw_Data!A276</f>
        <v>275</v>
      </c>
      <c r="B276">
        <f>Raw_Data!B276</f>
        <v>57</v>
      </c>
      <c r="C276">
        <f>Raw_Data!D276</f>
        <v>17</v>
      </c>
      <c r="D276">
        <f>Raw_Data!F276</f>
        <v>2</v>
      </c>
      <c r="E276">
        <f>Raw_Data!H276</f>
        <v>0</v>
      </c>
      <c r="F276">
        <f>Raw_Data!G276</f>
        <v>1</v>
      </c>
      <c r="G276">
        <f>Raw_Data!E276</f>
        <v>42196.23</v>
      </c>
      <c r="H276">
        <f>Raw_Data!I276</f>
        <v>139054.99</v>
      </c>
      <c r="I276">
        <f>Raw_Data!J276</f>
        <v>0</v>
      </c>
      <c r="J276">
        <f t="shared" si="9"/>
        <v>4</v>
      </c>
      <c r="K276" t="str">
        <f t="shared" si="10"/>
        <v>Medium Risk</v>
      </c>
    </row>
    <row r="277" spans="1:11" x14ac:dyDescent="0.35">
      <c r="A277">
        <f>Raw_Data!A277</f>
        <v>276</v>
      </c>
      <c r="B277">
        <f>Raw_Data!B277</f>
        <v>56</v>
      </c>
      <c r="C277">
        <f>Raw_Data!D277</f>
        <v>28</v>
      </c>
      <c r="D277">
        <f>Raw_Data!F277</f>
        <v>1</v>
      </c>
      <c r="E277">
        <f>Raw_Data!H277</f>
        <v>1</v>
      </c>
      <c r="F277">
        <f>Raw_Data!G277</f>
        <v>0</v>
      </c>
      <c r="G277">
        <f>Raw_Data!E277</f>
        <v>14245.4</v>
      </c>
      <c r="H277">
        <f>Raw_Data!I277</f>
        <v>113331.25</v>
      </c>
      <c r="I277">
        <f>Raw_Data!J277</f>
        <v>0</v>
      </c>
      <c r="J277">
        <f t="shared" si="9"/>
        <v>1</v>
      </c>
      <c r="K277" t="str">
        <f t="shared" si="10"/>
        <v>Low Risk</v>
      </c>
    </row>
    <row r="278" spans="1:11" x14ac:dyDescent="0.35">
      <c r="A278">
        <f>Raw_Data!A278</f>
        <v>277</v>
      </c>
      <c r="B278">
        <f>Raw_Data!B278</f>
        <v>35</v>
      </c>
      <c r="C278">
        <f>Raw_Data!D278</f>
        <v>66</v>
      </c>
      <c r="D278">
        <f>Raw_Data!F278</f>
        <v>1</v>
      </c>
      <c r="E278">
        <f>Raw_Data!H278</f>
        <v>0</v>
      </c>
      <c r="F278">
        <f>Raw_Data!G278</f>
        <v>0</v>
      </c>
      <c r="G278">
        <f>Raw_Data!E278</f>
        <v>23142.6</v>
      </c>
      <c r="H278">
        <f>Raw_Data!I278</f>
        <v>56869.03</v>
      </c>
      <c r="I278">
        <f>Raw_Data!J278</f>
        <v>0</v>
      </c>
      <c r="J278">
        <f t="shared" si="9"/>
        <v>2</v>
      </c>
      <c r="K278" t="str">
        <f t="shared" si="10"/>
        <v>Low Risk</v>
      </c>
    </row>
    <row r="279" spans="1:11" x14ac:dyDescent="0.35">
      <c r="A279">
        <f>Raw_Data!A279</f>
        <v>278</v>
      </c>
      <c r="B279">
        <f>Raw_Data!B279</f>
        <v>57</v>
      </c>
      <c r="C279">
        <f>Raw_Data!D279</f>
        <v>35</v>
      </c>
      <c r="D279">
        <f>Raw_Data!F279</f>
        <v>4</v>
      </c>
      <c r="E279">
        <f>Raw_Data!H279</f>
        <v>0</v>
      </c>
      <c r="F279">
        <f>Raw_Data!G279</f>
        <v>0</v>
      </c>
      <c r="G279">
        <f>Raw_Data!E279</f>
        <v>21926.92</v>
      </c>
      <c r="H279">
        <f>Raw_Data!I279</f>
        <v>62416.68</v>
      </c>
      <c r="I279">
        <f>Raw_Data!J279</f>
        <v>0</v>
      </c>
      <c r="J279">
        <f t="shared" si="9"/>
        <v>5</v>
      </c>
      <c r="K279" t="str">
        <f t="shared" si="10"/>
        <v>High Risk</v>
      </c>
    </row>
    <row r="280" spans="1:11" x14ac:dyDescent="0.35">
      <c r="A280">
        <f>Raw_Data!A280</f>
        <v>279</v>
      </c>
      <c r="B280">
        <f>Raw_Data!B280</f>
        <v>18</v>
      </c>
      <c r="C280">
        <f>Raw_Data!D280</f>
        <v>5</v>
      </c>
      <c r="D280">
        <f>Raw_Data!F280</f>
        <v>2</v>
      </c>
      <c r="E280">
        <f>Raw_Data!H280</f>
        <v>0</v>
      </c>
      <c r="F280">
        <f>Raw_Data!G280</f>
        <v>1</v>
      </c>
      <c r="G280">
        <f>Raw_Data!E280</f>
        <v>10925.49</v>
      </c>
      <c r="H280">
        <f>Raw_Data!I280</f>
        <v>22698.54</v>
      </c>
      <c r="I280">
        <f>Raw_Data!J280</f>
        <v>0</v>
      </c>
      <c r="J280">
        <f t="shared" si="9"/>
        <v>4</v>
      </c>
      <c r="K280" t="str">
        <f t="shared" si="10"/>
        <v>Medium Risk</v>
      </c>
    </row>
    <row r="281" spans="1:11" x14ac:dyDescent="0.35">
      <c r="A281">
        <f>Raw_Data!A281</f>
        <v>280</v>
      </c>
      <c r="B281">
        <f>Raw_Data!B281</f>
        <v>28</v>
      </c>
      <c r="C281">
        <f>Raw_Data!D281</f>
        <v>65</v>
      </c>
      <c r="D281">
        <f>Raw_Data!F281</f>
        <v>4</v>
      </c>
      <c r="E281">
        <f>Raw_Data!H281</f>
        <v>1</v>
      </c>
      <c r="F281">
        <f>Raw_Data!G281</f>
        <v>1</v>
      </c>
      <c r="G281">
        <f>Raw_Data!E281</f>
        <v>19839.84</v>
      </c>
      <c r="H281">
        <f>Raw_Data!I281</f>
        <v>118915.18</v>
      </c>
      <c r="I281">
        <f>Raw_Data!J281</f>
        <v>0</v>
      </c>
      <c r="J281">
        <f t="shared" si="9"/>
        <v>2</v>
      </c>
      <c r="K281" t="str">
        <f t="shared" si="10"/>
        <v>Low Risk</v>
      </c>
    </row>
    <row r="282" spans="1:11" x14ac:dyDescent="0.35">
      <c r="A282">
        <f>Raw_Data!A282</f>
        <v>281</v>
      </c>
      <c r="B282">
        <f>Raw_Data!B282</f>
        <v>45</v>
      </c>
      <c r="C282">
        <f>Raw_Data!D282</f>
        <v>40</v>
      </c>
      <c r="D282">
        <f>Raw_Data!F282</f>
        <v>3</v>
      </c>
      <c r="E282">
        <f>Raw_Data!H282</f>
        <v>1</v>
      </c>
      <c r="F282">
        <f>Raw_Data!G282</f>
        <v>1</v>
      </c>
      <c r="G282">
        <f>Raw_Data!E282</f>
        <v>2219.39</v>
      </c>
      <c r="H282">
        <f>Raw_Data!I282</f>
        <v>25556.15</v>
      </c>
      <c r="I282">
        <f>Raw_Data!J282</f>
        <v>0</v>
      </c>
      <c r="J282">
        <f t="shared" si="9"/>
        <v>0</v>
      </c>
      <c r="K282" t="str">
        <f t="shared" si="10"/>
        <v>Low Risk</v>
      </c>
    </row>
    <row r="283" spans="1:11" x14ac:dyDescent="0.35">
      <c r="A283">
        <f>Raw_Data!A283</f>
        <v>282</v>
      </c>
      <c r="B283">
        <f>Raw_Data!B283</f>
        <v>42</v>
      </c>
      <c r="C283">
        <f>Raw_Data!D283</f>
        <v>56</v>
      </c>
      <c r="D283">
        <f>Raw_Data!F283</f>
        <v>1</v>
      </c>
      <c r="E283">
        <f>Raw_Data!H283</f>
        <v>0</v>
      </c>
      <c r="F283">
        <f>Raw_Data!G283</f>
        <v>0</v>
      </c>
      <c r="G283">
        <f>Raw_Data!E283</f>
        <v>13891.1</v>
      </c>
      <c r="H283">
        <f>Raw_Data!I283</f>
        <v>132404.81</v>
      </c>
      <c r="I283">
        <f>Raw_Data!J283</f>
        <v>0</v>
      </c>
      <c r="J283">
        <f t="shared" si="9"/>
        <v>2</v>
      </c>
      <c r="K283" t="str">
        <f t="shared" si="10"/>
        <v>Low Risk</v>
      </c>
    </row>
    <row r="284" spans="1:11" x14ac:dyDescent="0.35">
      <c r="A284">
        <f>Raw_Data!A284</f>
        <v>283</v>
      </c>
      <c r="B284">
        <f>Raw_Data!B284</f>
        <v>67</v>
      </c>
      <c r="C284">
        <f>Raw_Data!D284</f>
        <v>36</v>
      </c>
      <c r="D284">
        <f>Raw_Data!F284</f>
        <v>3</v>
      </c>
      <c r="E284">
        <f>Raw_Data!H284</f>
        <v>0</v>
      </c>
      <c r="F284">
        <f>Raw_Data!G284</f>
        <v>0</v>
      </c>
      <c r="G284">
        <f>Raw_Data!E284</f>
        <v>40834.11</v>
      </c>
      <c r="H284">
        <f>Raw_Data!I284</f>
        <v>35425.879999999997</v>
      </c>
      <c r="I284">
        <f>Raw_Data!J284</f>
        <v>0</v>
      </c>
      <c r="J284">
        <f t="shared" si="9"/>
        <v>4</v>
      </c>
      <c r="K284" t="str">
        <f t="shared" si="10"/>
        <v>Medium Risk</v>
      </c>
    </row>
    <row r="285" spans="1:11" x14ac:dyDescent="0.35">
      <c r="A285">
        <f>Raw_Data!A285</f>
        <v>284</v>
      </c>
      <c r="B285">
        <f>Raw_Data!B285</f>
        <v>40</v>
      </c>
      <c r="C285">
        <f>Raw_Data!D285</f>
        <v>45</v>
      </c>
      <c r="D285">
        <f>Raw_Data!F285</f>
        <v>2</v>
      </c>
      <c r="E285">
        <f>Raw_Data!H285</f>
        <v>1</v>
      </c>
      <c r="F285">
        <f>Raw_Data!G285</f>
        <v>1</v>
      </c>
      <c r="G285">
        <f>Raw_Data!E285</f>
        <v>14228.12</v>
      </c>
      <c r="H285">
        <f>Raw_Data!I285</f>
        <v>42343.95</v>
      </c>
      <c r="I285">
        <f>Raw_Data!J285</f>
        <v>0</v>
      </c>
      <c r="J285">
        <f t="shared" si="9"/>
        <v>0</v>
      </c>
      <c r="K285" t="str">
        <f t="shared" si="10"/>
        <v>Low Risk</v>
      </c>
    </row>
    <row r="286" spans="1:11" x14ac:dyDescent="0.35">
      <c r="A286">
        <f>Raw_Data!A286</f>
        <v>285</v>
      </c>
      <c r="B286">
        <f>Raw_Data!B286</f>
        <v>48</v>
      </c>
      <c r="C286">
        <f>Raw_Data!D286</f>
        <v>23</v>
      </c>
      <c r="D286">
        <f>Raw_Data!F286</f>
        <v>4</v>
      </c>
      <c r="E286">
        <f>Raw_Data!H286</f>
        <v>0</v>
      </c>
      <c r="F286">
        <f>Raw_Data!G286</f>
        <v>0</v>
      </c>
      <c r="G286">
        <f>Raw_Data!E286</f>
        <v>40910.33</v>
      </c>
      <c r="H286">
        <f>Raw_Data!I286</f>
        <v>81948.44</v>
      </c>
      <c r="I286">
        <f>Raw_Data!J286</f>
        <v>0</v>
      </c>
      <c r="J286">
        <f t="shared" si="9"/>
        <v>5</v>
      </c>
      <c r="K286" t="str">
        <f t="shared" si="10"/>
        <v>High Risk</v>
      </c>
    </row>
    <row r="287" spans="1:11" x14ac:dyDescent="0.35">
      <c r="A287">
        <f>Raw_Data!A287</f>
        <v>286</v>
      </c>
      <c r="B287">
        <f>Raw_Data!B287</f>
        <v>47</v>
      </c>
      <c r="C287">
        <f>Raw_Data!D287</f>
        <v>47</v>
      </c>
      <c r="D287">
        <f>Raw_Data!F287</f>
        <v>4</v>
      </c>
      <c r="E287">
        <f>Raw_Data!H287</f>
        <v>0</v>
      </c>
      <c r="F287">
        <f>Raw_Data!G287</f>
        <v>1</v>
      </c>
      <c r="G287">
        <f>Raw_Data!E287</f>
        <v>26579.97</v>
      </c>
      <c r="H287">
        <f>Raw_Data!I287</f>
        <v>115924.45</v>
      </c>
      <c r="I287">
        <f>Raw_Data!J287</f>
        <v>0</v>
      </c>
      <c r="J287">
        <f t="shared" si="9"/>
        <v>4</v>
      </c>
      <c r="K287" t="str">
        <f t="shared" si="10"/>
        <v>Medium Risk</v>
      </c>
    </row>
    <row r="288" spans="1:11" x14ac:dyDescent="0.35">
      <c r="A288">
        <f>Raw_Data!A288</f>
        <v>287</v>
      </c>
      <c r="B288">
        <f>Raw_Data!B288</f>
        <v>59</v>
      </c>
      <c r="C288">
        <f>Raw_Data!D288</f>
        <v>31</v>
      </c>
      <c r="D288">
        <f>Raw_Data!F288</f>
        <v>4</v>
      </c>
      <c r="E288">
        <f>Raw_Data!H288</f>
        <v>1</v>
      </c>
      <c r="F288">
        <f>Raw_Data!G288</f>
        <v>0</v>
      </c>
      <c r="G288">
        <f>Raw_Data!E288</f>
        <v>43993.13</v>
      </c>
      <c r="H288">
        <f>Raw_Data!I288</f>
        <v>38070.29</v>
      </c>
      <c r="I288">
        <f>Raw_Data!J288</f>
        <v>0</v>
      </c>
      <c r="J288">
        <f t="shared" si="9"/>
        <v>4</v>
      </c>
      <c r="K288" t="str">
        <f t="shared" si="10"/>
        <v>Medium Risk</v>
      </c>
    </row>
    <row r="289" spans="1:11" x14ac:dyDescent="0.35">
      <c r="A289">
        <f>Raw_Data!A289</f>
        <v>288</v>
      </c>
      <c r="B289">
        <f>Raw_Data!B289</f>
        <v>52</v>
      </c>
      <c r="C289">
        <f>Raw_Data!D289</f>
        <v>11</v>
      </c>
      <c r="D289">
        <f>Raw_Data!F289</f>
        <v>3</v>
      </c>
      <c r="E289">
        <f>Raw_Data!H289</f>
        <v>0</v>
      </c>
      <c r="F289">
        <f>Raw_Data!G289</f>
        <v>0</v>
      </c>
      <c r="G289">
        <f>Raw_Data!E289</f>
        <v>28738.98</v>
      </c>
      <c r="H289">
        <f>Raw_Data!I289</f>
        <v>77209.240000000005</v>
      </c>
      <c r="I289">
        <f>Raw_Data!J289</f>
        <v>0</v>
      </c>
      <c r="J289">
        <f t="shared" si="9"/>
        <v>4</v>
      </c>
      <c r="K289" t="str">
        <f t="shared" si="10"/>
        <v>Medium Risk</v>
      </c>
    </row>
    <row r="290" spans="1:11" x14ac:dyDescent="0.35">
      <c r="A290">
        <f>Raw_Data!A290</f>
        <v>289</v>
      </c>
      <c r="B290">
        <f>Raw_Data!B290</f>
        <v>24</v>
      </c>
      <c r="C290">
        <f>Raw_Data!D290</f>
        <v>10</v>
      </c>
      <c r="D290">
        <f>Raw_Data!F290</f>
        <v>1</v>
      </c>
      <c r="E290">
        <f>Raw_Data!H290</f>
        <v>0</v>
      </c>
      <c r="F290">
        <f>Raw_Data!G290</f>
        <v>1</v>
      </c>
      <c r="G290">
        <f>Raw_Data!E290</f>
        <v>1483.41</v>
      </c>
      <c r="H290">
        <f>Raw_Data!I290</f>
        <v>82770.67</v>
      </c>
      <c r="I290">
        <f>Raw_Data!J290</f>
        <v>1</v>
      </c>
      <c r="J290">
        <f t="shared" si="9"/>
        <v>4</v>
      </c>
      <c r="K290" t="str">
        <f t="shared" si="10"/>
        <v>Medium Risk</v>
      </c>
    </row>
    <row r="291" spans="1:11" x14ac:dyDescent="0.35">
      <c r="A291">
        <f>Raw_Data!A291</f>
        <v>290</v>
      </c>
      <c r="B291">
        <f>Raw_Data!B291</f>
        <v>33</v>
      </c>
      <c r="C291">
        <f>Raw_Data!D291</f>
        <v>67</v>
      </c>
      <c r="D291">
        <f>Raw_Data!F291</f>
        <v>3</v>
      </c>
      <c r="E291">
        <f>Raw_Data!H291</f>
        <v>1</v>
      </c>
      <c r="F291">
        <f>Raw_Data!G291</f>
        <v>0</v>
      </c>
      <c r="G291">
        <f>Raw_Data!E291</f>
        <v>33771.01</v>
      </c>
      <c r="H291">
        <f>Raw_Data!I291</f>
        <v>47597.13</v>
      </c>
      <c r="I291">
        <f>Raw_Data!J291</f>
        <v>0</v>
      </c>
      <c r="J291">
        <f t="shared" si="9"/>
        <v>0</v>
      </c>
      <c r="K291" t="str">
        <f t="shared" si="10"/>
        <v>Low Risk</v>
      </c>
    </row>
    <row r="292" spans="1:11" x14ac:dyDescent="0.35">
      <c r="A292">
        <f>Raw_Data!A292</f>
        <v>291</v>
      </c>
      <c r="B292">
        <f>Raw_Data!B292</f>
        <v>43</v>
      </c>
      <c r="C292">
        <f>Raw_Data!D292</f>
        <v>14</v>
      </c>
      <c r="D292">
        <f>Raw_Data!F292</f>
        <v>3</v>
      </c>
      <c r="E292">
        <f>Raw_Data!H292</f>
        <v>1</v>
      </c>
      <c r="F292">
        <f>Raw_Data!G292</f>
        <v>0</v>
      </c>
      <c r="G292">
        <f>Raw_Data!E292</f>
        <v>2242.6799999999998</v>
      </c>
      <c r="H292">
        <f>Raw_Data!I292</f>
        <v>35022.589999999997</v>
      </c>
      <c r="I292">
        <f>Raw_Data!J292</f>
        <v>0</v>
      </c>
      <c r="J292">
        <f t="shared" si="9"/>
        <v>0</v>
      </c>
      <c r="K292" t="str">
        <f t="shared" si="10"/>
        <v>Low Risk</v>
      </c>
    </row>
    <row r="293" spans="1:11" x14ac:dyDescent="0.35">
      <c r="A293">
        <f>Raw_Data!A293</f>
        <v>292</v>
      </c>
      <c r="B293">
        <f>Raw_Data!B293</f>
        <v>65</v>
      </c>
      <c r="C293">
        <f>Raw_Data!D293</f>
        <v>10</v>
      </c>
      <c r="D293">
        <f>Raw_Data!F293</f>
        <v>2</v>
      </c>
      <c r="E293">
        <f>Raw_Data!H293</f>
        <v>0</v>
      </c>
      <c r="F293">
        <f>Raw_Data!G293</f>
        <v>1</v>
      </c>
      <c r="G293">
        <f>Raw_Data!E293</f>
        <v>22529.85</v>
      </c>
      <c r="H293">
        <f>Raw_Data!I293</f>
        <v>128734.72</v>
      </c>
      <c r="I293">
        <f>Raw_Data!J293</f>
        <v>0</v>
      </c>
      <c r="J293">
        <f t="shared" si="9"/>
        <v>5</v>
      </c>
      <c r="K293" t="str">
        <f t="shared" si="10"/>
        <v>High Risk</v>
      </c>
    </row>
    <row r="294" spans="1:11" x14ac:dyDescent="0.35">
      <c r="A294">
        <f>Raw_Data!A294</f>
        <v>293</v>
      </c>
      <c r="B294">
        <f>Raw_Data!B294</f>
        <v>69</v>
      </c>
      <c r="C294">
        <f>Raw_Data!D294</f>
        <v>1</v>
      </c>
      <c r="D294">
        <f>Raw_Data!F294</f>
        <v>2</v>
      </c>
      <c r="E294">
        <f>Raw_Data!H294</f>
        <v>1</v>
      </c>
      <c r="F294">
        <f>Raw_Data!G294</f>
        <v>1</v>
      </c>
      <c r="G294">
        <f>Raw_Data!E294</f>
        <v>46471.33</v>
      </c>
      <c r="H294">
        <f>Raw_Data!I294</f>
        <v>85320.53</v>
      </c>
      <c r="I294">
        <f>Raw_Data!J294</f>
        <v>0</v>
      </c>
      <c r="J294">
        <f t="shared" si="9"/>
        <v>4</v>
      </c>
      <c r="K294" t="str">
        <f t="shared" si="10"/>
        <v>Medium Risk</v>
      </c>
    </row>
    <row r="295" spans="1:11" x14ac:dyDescent="0.35">
      <c r="A295">
        <f>Raw_Data!A295</f>
        <v>294</v>
      </c>
      <c r="B295">
        <f>Raw_Data!B295</f>
        <v>66</v>
      </c>
      <c r="C295">
        <f>Raw_Data!D295</f>
        <v>5</v>
      </c>
      <c r="D295">
        <f>Raw_Data!F295</f>
        <v>2</v>
      </c>
      <c r="E295">
        <f>Raw_Data!H295</f>
        <v>0</v>
      </c>
      <c r="F295">
        <f>Raw_Data!G295</f>
        <v>0</v>
      </c>
      <c r="G295">
        <f>Raw_Data!E295</f>
        <v>8260.2000000000007</v>
      </c>
      <c r="H295">
        <f>Raw_Data!I295</f>
        <v>21869.56</v>
      </c>
      <c r="I295">
        <f>Raw_Data!J295</f>
        <v>1</v>
      </c>
      <c r="J295">
        <f t="shared" si="9"/>
        <v>5</v>
      </c>
      <c r="K295" t="str">
        <f t="shared" si="10"/>
        <v>High Risk</v>
      </c>
    </row>
    <row r="296" spans="1:11" x14ac:dyDescent="0.35">
      <c r="A296">
        <f>Raw_Data!A296</f>
        <v>295</v>
      </c>
      <c r="B296">
        <f>Raw_Data!B296</f>
        <v>19</v>
      </c>
      <c r="C296">
        <f>Raw_Data!D296</f>
        <v>20</v>
      </c>
      <c r="D296">
        <f>Raw_Data!F296</f>
        <v>1</v>
      </c>
      <c r="E296">
        <f>Raw_Data!H296</f>
        <v>0</v>
      </c>
      <c r="F296">
        <f>Raw_Data!G296</f>
        <v>1</v>
      </c>
      <c r="G296">
        <f>Raw_Data!E296</f>
        <v>19493.62</v>
      </c>
      <c r="H296">
        <f>Raw_Data!I296</f>
        <v>124387.57</v>
      </c>
      <c r="I296">
        <f>Raw_Data!J296</f>
        <v>0</v>
      </c>
      <c r="J296">
        <f t="shared" si="9"/>
        <v>2</v>
      </c>
      <c r="K296" t="str">
        <f t="shared" si="10"/>
        <v>Low Risk</v>
      </c>
    </row>
    <row r="297" spans="1:11" x14ac:dyDescent="0.35">
      <c r="A297">
        <f>Raw_Data!A297</f>
        <v>296</v>
      </c>
      <c r="B297">
        <f>Raw_Data!B297</f>
        <v>18</v>
      </c>
      <c r="C297">
        <f>Raw_Data!D297</f>
        <v>8</v>
      </c>
      <c r="D297">
        <f>Raw_Data!F297</f>
        <v>1</v>
      </c>
      <c r="E297">
        <f>Raw_Data!H297</f>
        <v>0</v>
      </c>
      <c r="F297">
        <f>Raw_Data!G297</f>
        <v>0</v>
      </c>
      <c r="G297">
        <f>Raw_Data!E297</f>
        <v>36493.019999999997</v>
      </c>
      <c r="H297">
        <f>Raw_Data!I297</f>
        <v>147503.19</v>
      </c>
      <c r="I297">
        <f>Raw_Data!J297</f>
        <v>0</v>
      </c>
      <c r="J297">
        <f t="shared" si="9"/>
        <v>4</v>
      </c>
      <c r="K297" t="str">
        <f t="shared" si="10"/>
        <v>Medium Risk</v>
      </c>
    </row>
    <row r="298" spans="1:11" x14ac:dyDescent="0.35">
      <c r="A298">
        <f>Raw_Data!A298</f>
        <v>297</v>
      </c>
      <c r="B298">
        <f>Raw_Data!B298</f>
        <v>65</v>
      </c>
      <c r="C298">
        <f>Raw_Data!D298</f>
        <v>43</v>
      </c>
      <c r="D298">
        <f>Raw_Data!F298</f>
        <v>2</v>
      </c>
      <c r="E298">
        <f>Raw_Data!H298</f>
        <v>1</v>
      </c>
      <c r="F298">
        <f>Raw_Data!G298</f>
        <v>1</v>
      </c>
      <c r="G298">
        <f>Raw_Data!E298</f>
        <v>44112.93</v>
      </c>
      <c r="H298">
        <f>Raw_Data!I298</f>
        <v>98770.41</v>
      </c>
      <c r="I298">
        <f>Raw_Data!J298</f>
        <v>0</v>
      </c>
      <c r="J298">
        <f t="shared" si="9"/>
        <v>2</v>
      </c>
      <c r="K298" t="str">
        <f t="shared" si="10"/>
        <v>Low Risk</v>
      </c>
    </row>
    <row r="299" spans="1:11" x14ac:dyDescent="0.35">
      <c r="A299">
        <f>Raw_Data!A299</f>
        <v>298</v>
      </c>
      <c r="B299">
        <f>Raw_Data!B299</f>
        <v>29</v>
      </c>
      <c r="C299">
        <f>Raw_Data!D299</f>
        <v>1</v>
      </c>
      <c r="D299">
        <f>Raw_Data!F299</f>
        <v>2</v>
      </c>
      <c r="E299">
        <f>Raw_Data!H299</f>
        <v>1</v>
      </c>
      <c r="F299">
        <f>Raw_Data!G299</f>
        <v>0</v>
      </c>
      <c r="G299">
        <f>Raw_Data!E299</f>
        <v>33547.15</v>
      </c>
      <c r="H299">
        <f>Raw_Data!I299</f>
        <v>85482.09</v>
      </c>
      <c r="I299">
        <f>Raw_Data!J299</f>
        <v>0</v>
      </c>
      <c r="J299">
        <f t="shared" si="9"/>
        <v>2</v>
      </c>
      <c r="K299" t="str">
        <f t="shared" si="10"/>
        <v>Low Risk</v>
      </c>
    </row>
    <row r="300" spans="1:11" x14ac:dyDescent="0.35">
      <c r="A300">
        <f>Raw_Data!A300</f>
        <v>299</v>
      </c>
      <c r="B300">
        <f>Raw_Data!B300</f>
        <v>22</v>
      </c>
      <c r="C300">
        <f>Raw_Data!D300</f>
        <v>57</v>
      </c>
      <c r="D300">
        <f>Raw_Data!F300</f>
        <v>1</v>
      </c>
      <c r="E300">
        <f>Raw_Data!H300</f>
        <v>0</v>
      </c>
      <c r="F300">
        <f>Raw_Data!G300</f>
        <v>0</v>
      </c>
      <c r="G300">
        <f>Raw_Data!E300</f>
        <v>12908.66</v>
      </c>
      <c r="H300">
        <f>Raw_Data!I300</f>
        <v>134194.06</v>
      </c>
      <c r="I300">
        <f>Raw_Data!J300</f>
        <v>0</v>
      </c>
      <c r="J300">
        <f t="shared" si="9"/>
        <v>2</v>
      </c>
      <c r="K300" t="str">
        <f t="shared" si="10"/>
        <v>Low Risk</v>
      </c>
    </row>
    <row r="301" spans="1:11" x14ac:dyDescent="0.35">
      <c r="A301">
        <f>Raw_Data!A301</f>
        <v>300</v>
      </c>
      <c r="B301">
        <f>Raw_Data!B301</f>
        <v>54</v>
      </c>
      <c r="C301">
        <f>Raw_Data!D301</f>
        <v>64</v>
      </c>
      <c r="D301">
        <f>Raw_Data!F301</f>
        <v>4</v>
      </c>
      <c r="E301">
        <f>Raw_Data!H301</f>
        <v>0</v>
      </c>
      <c r="F301">
        <f>Raw_Data!G301</f>
        <v>1</v>
      </c>
      <c r="G301">
        <f>Raw_Data!E301</f>
        <v>33730.39</v>
      </c>
      <c r="H301">
        <f>Raw_Data!I301</f>
        <v>143827.18</v>
      </c>
      <c r="I301">
        <f>Raw_Data!J301</f>
        <v>0</v>
      </c>
      <c r="J301">
        <f t="shared" si="9"/>
        <v>4</v>
      </c>
      <c r="K301" t="str">
        <f t="shared" si="10"/>
        <v>Medium Risk</v>
      </c>
    </row>
    <row r="302" spans="1:11" x14ac:dyDescent="0.35">
      <c r="A302">
        <f>Raw_Data!A302</f>
        <v>301</v>
      </c>
      <c r="B302">
        <f>Raw_Data!B302</f>
        <v>49</v>
      </c>
      <c r="C302">
        <f>Raw_Data!D302</f>
        <v>28</v>
      </c>
      <c r="D302">
        <f>Raw_Data!F302</f>
        <v>1</v>
      </c>
      <c r="E302">
        <f>Raw_Data!H302</f>
        <v>1</v>
      </c>
      <c r="F302">
        <f>Raw_Data!G302</f>
        <v>0</v>
      </c>
      <c r="G302">
        <f>Raw_Data!E302</f>
        <v>14836.38</v>
      </c>
      <c r="H302">
        <f>Raw_Data!I302</f>
        <v>118089.8</v>
      </c>
      <c r="I302">
        <f>Raw_Data!J302</f>
        <v>0</v>
      </c>
      <c r="J302">
        <f t="shared" si="9"/>
        <v>0</v>
      </c>
      <c r="K302" t="str">
        <f t="shared" si="10"/>
        <v>Low Risk</v>
      </c>
    </row>
    <row r="303" spans="1:11" x14ac:dyDescent="0.35">
      <c r="A303">
        <f>Raw_Data!A303</f>
        <v>302</v>
      </c>
      <c r="B303">
        <f>Raw_Data!B303</f>
        <v>26</v>
      </c>
      <c r="C303">
        <f>Raw_Data!D303</f>
        <v>37</v>
      </c>
      <c r="D303">
        <f>Raw_Data!F303</f>
        <v>1</v>
      </c>
      <c r="E303">
        <f>Raw_Data!H303</f>
        <v>1</v>
      </c>
      <c r="F303">
        <f>Raw_Data!G303</f>
        <v>0</v>
      </c>
      <c r="G303">
        <f>Raw_Data!E303</f>
        <v>35921.46</v>
      </c>
      <c r="H303">
        <f>Raw_Data!I303</f>
        <v>77908.88</v>
      </c>
      <c r="I303">
        <f>Raw_Data!J303</f>
        <v>0</v>
      </c>
      <c r="J303">
        <f t="shared" si="9"/>
        <v>0</v>
      </c>
      <c r="K303" t="str">
        <f t="shared" si="10"/>
        <v>Low Risk</v>
      </c>
    </row>
    <row r="304" spans="1:11" x14ac:dyDescent="0.35">
      <c r="A304">
        <f>Raw_Data!A304</f>
        <v>303</v>
      </c>
      <c r="B304">
        <f>Raw_Data!B304</f>
        <v>58</v>
      </c>
      <c r="C304">
        <f>Raw_Data!D304</f>
        <v>47</v>
      </c>
      <c r="D304">
        <f>Raw_Data!F304</f>
        <v>1</v>
      </c>
      <c r="E304">
        <f>Raw_Data!H304</f>
        <v>1</v>
      </c>
      <c r="F304">
        <f>Raw_Data!G304</f>
        <v>1</v>
      </c>
      <c r="G304">
        <f>Raw_Data!E304</f>
        <v>47701.66</v>
      </c>
      <c r="H304">
        <f>Raw_Data!I304</f>
        <v>96988.78</v>
      </c>
      <c r="I304">
        <f>Raw_Data!J304</f>
        <v>0</v>
      </c>
      <c r="J304">
        <f t="shared" si="9"/>
        <v>2</v>
      </c>
      <c r="K304" t="str">
        <f t="shared" si="10"/>
        <v>Low Risk</v>
      </c>
    </row>
    <row r="305" spans="1:11" x14ac:dyDescent="0.35">
      <c r="A305">
        <f>Raw_Data!A305</f>
        <v>304</v>
      </c>
      <c r="B305">
        <f>Raw_Data!B305</f>
        <v>52</v>
      </c>
      <c r="C305">
        <f>Raw_Data!D305</f>
        <v>37</v>
      </c>
      <c r="D305">
        <f>Raw_Data!F305</f>
        <v>2</v>
      </c>
      <c r="E305">
        <f>Raw_Data!H305</f>
        <v>0</v>
      </c>
      <c r="F305">
        <f>Raw_Data!G305</f>
        <v>1</v>
      </c>
      <c r="G305">
        <f>Raw_Data!E305</f>
        <v>36069.67</v>
      </c>
      <c r="H305">
        <f>Raw_Data!I305</f>
        <v>111121.60000000001</v>
      </c>
      <c r="I305">
        <f>Raw_Data!J305</f>
        <v>0</v>
      </c>
      <c r="J305">
        <f t="shared" si="9"/>
        <v>2</v>
      </c>
      <c r="K305" t="str">
        <f t="shared" si="10"/>
        <v>Low Risk</v>
      </c>
    </row>
    <row r="306" spans="1:11" x14ac:dyDescent="0.35">
      <c r="A306">
        <f>Raw_Data!A306</f>
        <v>305</v>
      </c>
      <c r="B306">
        <f>Raw_Data!B306</f>
        <v>36</v>
      </c>
      <c r="C306">
        <f>Raw_Data!D306</f>
        <v>49</v>
      </c>
      <c r="D306">
        <f>Raw_Data!F306</f>
        <v>4</v>
      </c>
      <c r="E306">
        <f>Raw_Data!H306</f>
        <v>1</v>
      </c>
      <c r="F306">
        <f>Raw_Data!G306</f>
        <v>0</v>
      </c>
      <c r="G306">
        <f>Raw_Data!E306</f>
        <v>43144.03</v>
      </c>
      <c r="H306">
        <f>Raw_Data!I306</f>
        <v>45255.56</v>
      </c>
      <c r="I306">
        <f>Raw_Data!J306</f>
        <v>0</v>
      </c>
      <c r="J306">
        <f t="shared" si="9"/>
        <v>3</v>
      </c>
      <c r="K306" t="str">
        <f t="shared" si="10"/>
        <v>Medium Risk</v>
      </c>
    </row>
    <row r="307" spans="1:11" x14ac:dyDescent="0.35">
      <c r="A307">
        <f>Raw_Data!A307</f>
        <v>306</v>
      </c>
      <c r="B307">
        <f>Raw_Data!B307</f>
        <v>65</v>
      </c>
      <c r="C307">
        <f>Raw_Data!D307</f>
        <v>44</v>
      </c>
      <c r="D307">
        <f>Raw_Data!F307</f>
        <v>1</v>
      </c>
      <c r="E307">
        <f>Raw_Data!H307</f>
        <v>1</v>
      </c>
      <c r="F307">
        <f>Raw_Data!G307</f>
        <v>1</v>
      </c>
      <c r="G307">
        <f>Raw_Data!E307</f>
        <v>105.19</v>
      </c>
      <c r="H307">
        <f>Raw_Data!I307</f>
        <v>78136.13</v>
      </c>
      <c r="I307">
        <f>Raw_Data!J307</f>
        <v>0</v>
      </c>
      <c r="J307">
        <f t="shared" si="9"/>
        <v>1</v>
      </c>
      <c r="K307" t="str">
        <f t="shared" si="10"/>
        <v>Low Risk</v>
      </c>
    </row>
    <row r="308" spans="1:11" x14ac:dyDescent="0.35">
      <c r="A308">
        <f>Raw_Data!A308</f>
        <v>307</v>
      </c>
      <c r="B308">
        <f>Raw_Data!B308</f>
        <v>33</v>
      </c>
      <c r="C308">
        <f>Raw_Data!D308</f>
        <v>56</v>
      </c>
      <c r="D308">
        <f>Raw_Data!F308</f>
        <v>2</v>
      </c>
      <c r="E308">
        <f>Raw_Data!H308</f>
        <v>0</v>
      </c>
      <c r="F308">
        <f>Raw_Data!G308</f>
        <v>1</v>
      </c>
      <c r="G308">
        <f>Raw_Data!E308</f>
        <v>35878.61</v>
      </c>
      <c r="H308">
        <f>Raw_Data!I308</f>
        <v>127876.76</v>
      </c>
      <c r="I308">
        <f>Raw_Data!J308</f>
        <v>0</v>
      </c>
      <c r="J308">
        <f t="shared" si="9"/>
        <v>2</v>
      </c>
      <c r="K308" t="str">
        <f t="shared" si="10"/>
        <v>Low Risk</v>
      </c>
    </row>
    <row r="309" spans="1:11" x14ac:dyDescent="0.35">
      <c r="A309">
        <f>Raw_Data!A309</f>
        <v>308</v>
      </c>
      <c r="B309">
        <f>Raw_Data!B309</f>
        <v>20</v>
      </c>
      <c r="C309">
        <f>Raw_Data!D309</f>
        <v>28</v>
      </c>
      <c r="D309">
        <f>Raw_Data!F309</f>
        <v>3</v>
      </c>
      <c r="E309">
        <f>Raw_Data!H309</f>
        <v>0</v>
      </c>
      <c r="F309">
        <f>Raw_Data!G309</f>
        <v>0</v>
      </c>
      <c r="G309">
        <f>Raw_Data!E309</f>
        <v>41479.379999999997</v>
      </c>
      <c r="H309">
        <f>Raw_Data!I309</f>
        <v>105114.3</v>
      </c>
      <c r="I309">
        <f>Raw_Data!J309</f>
        <v>0</v>
      </c>
      <c r="J309">
        <f t="shared" si="9"/>
        <v>3</v>
      </c>
      <c r="K309" t="str">
        <f t="shared" si="10"/>
        <v>Medium Risk</v>
      </c>
    </row>
    <row r="310" spans="1:11" x14ac:dyDescent="0.35">
      <c r="A310">
        <f>Raw_Data!A310</f>
        <v>309</v>
      </c>
      <c r="B310">
        <f>Raw_Data!B310</f>
        <v>37</v>
      </c>
      <c r="C310">
        <f>Raw_Data!D310</f>
        <v>6</v>
      </c>
      <c r="D310">
        <f>Raw_Data!F310</f>
        <v>3</v>
      </c>
      <c r="E310">
        <f>Raw_Data!H310</f>
        <v>0</v>
      </c>
      <c r="F310">
        <f>Raw_Data!G310</f>
        <v>0</v>
      </c>
      <c r="G310">
        <f>Raw_Data!E310</f>
        <v>2027.94</v>
      </c>
      <c r="H310">
        <f>Raw_Data!I310</f>
        <v>73456.53</v>
      </c>
      <c r="I310">
        <f>Raw_Data!J310</f>
        <v>1</v>
      </c>
      <c r="J310">
        <f t="shared" si="9"/>
        <v>4</v>
      </c>
      <c r="K310" t="str">
        <f t="shared" si="10"/>
        <v>Medium Risk</v>
      </c>
    </row>
    <row r="311" spans="1:11" x14ac:dyDescent="0.35">
      <c r="A311">
        <f>Raw_Data!A311</f>
        <v>310</v>
      </c>
      <c r="B311">
        <f>Raw_Data!B311</f>
        <v>41</v>
      </c>
      <c r="C311">
        <f>Raw_Data!D311</f>
        <v>61</v>
      </c>
      <c r="D311">
        <f>Raw_Data!F311</f>
        <v>1</v>
      </c>
      <c r="E311">
        <f>Raw_Data!H311</f>
        <v>1</v>
      </c>
      <c r="F311">
        <f>Raw_Data!G311</f>
        <v>1</v>
      </c>
      <c r="G311">
        <f>Raw_Data!E311</f>
        <v>43579.89</v>
      </c>
      <c r="H311">
        <f>Raw_Data!I311</f>
        <v>106237.13</v>
      </c>
      <c r="I311">
        <f>Raw_Data!J311</f>
        <v>0</v>
      </c>
      <c r="J311">
        <f t="shared" si="9"/>
        <v>1</v>
      </c>
      <c r="K311" t="str">
        <f t="shared" si="10"/>
        <v>Low Risk</v>
      </c>
    </row>
    <row r="312" spans="1:11" x14ac:dyDescent="0.35">
      <c r="A312">
        <f>Raw_Data!A312</f>
        <v>311</v>
      </c>
      <c r="B312">
        <f>Raw_Data!B312</f>
        <v>50</v>
      </c>
      <c r="C312">
        <f>Raw_Data!D312</f>
        <v>20</v>
      </c>
      <c r="D312">
        <f>Raw_Data!F312</f>
        <v>3</v>
      </c>
      <c r="E312">
        <f>Raw_Data!H312</f>
        <v>0</v>
      </c>
      <c r="F312">
        <f>Raw_Data!G312</f>
        <v>1</v>
      </c>
      <c r="G312">
        <f>Raw_Data!E312</f>
        <v>12834.71</v>
      </c>
      <c r="H312">
        <f>Raw_Data!I312</f>
        <v>35368.910000000003</v>
      </c>
      <c r="I312">
        <f>Raw_Data!J312</f>
        <v>0</v>
      </c>
      <c r="J312">
        <f t="shared" si="9"/>
        <v>2</v>
      </c>
      <c r="K312" t="str">
        <f t="shared" si="10"/>
        <v>Low Risk</v>
      </c>
    </row>
    <row r="313" spans="1:11" x14ac:dyDescent="0.35">
      <c r="A313">
        <f>Raw_Data!A313</f>
        <v>312</v>
      </c>
      <c r="B313">
        <f>Raw_Data!B313</f>
        <v>41</v>
      </c>
      <c r="C313">
        <f>Raw_Data!D313</f>
        <v>2</v>
      </c>
      <c r="D313">
        <f>Raw_Data!F313</f>
        <v>4</v>
      </c>
      <c r="E313">
        <f>Raw_Data!H313</f>
        <v>0</v>
      </c>
      <c r="F313">
        <f>Raw_Data!G313</f>
        <v>1</v>
      </c>
      <c r="G313">
        <f>Raw_Data!E313</f>
        <v>33264.61</v>
      </c>
      <c r="H313">
        <f>Raw_Data!I313</f>
        <v>72194.69</v>
      </c>
      <c r="I313">
        <f>Raw_Data!J313</f>
        <v>0</v>
      </c>
      <c r="J313">
        <f t="shared" si="9"/>
        <v>6</v>
      </c>
      <c r="K313" t="str">
        <f t="shared" si="10"/>
        <v>High Risk</v>
      </c>
    </row>
    <row r="314" spans="1:11" x14ac:dyDescent="0.35">
      <c r="A314">
        <f>Raw_Data!A314</f>
        <v>313</v>
      </c>
      <c r="B314">
        <f>Raw_Data!B314</f>
        <v>69</v>
      </c>
      <c r="C314">
        <f>Raw_Data!D314</f>
        <v>37</v>
      </c>
      <c r="D314">
        <f>Raw_Data!F314</f>
        <v>3</v>
      </c>
      <c r="E314">
        <f>Raw_Data!H314</f>
        <v>0</v>
      </c>
      <c r="F314">
        <f>Raw_Data!G314</f>
        <v>0</v>
      </c>
      <c r="G314">
        <f>Raw_Data!E314</f>
        <v>40017.74</v>
      </c>
      <c r="H314">
        <f>Raw_Data!I314</f>
        <v>123106.71</v>
      </c>
      <c r="I314">
        <f>Raw_Data!J314</f>
        <v>0</v>
      </c>
      <c r="J314">
        <f t="shared" si="9"/>
        <v>4</v>
      </c>
      <c r="K314" t="str">
        <f t="shared" si="10"/>
        <v>Medium Risk</v>
      </c>
    </row>
    <row r="315" spans="1:11" x14ac:dyDescent="0.35">
      <c r="A315">
        <f>Raw_Data!A315</f>
        <v>314</v>
      </c>
      <c r="B315">
        <f>Raw_Data!B315</f>
        <v>28</v>
      </c>
      <c r="C315">
        <f>Raw_Data!D315</f>
        <v>20</v>
      </c>
      <c r="D315">
        <f>Raw_Data!F315</f>
        <v>3</v>
      </c>
      <c r="E315">
        <f>Raw_Data!H315</f>
        <v>0</v>
      </c>
      <c r="F315">
        <f>Raw_Data!G315</f>
        <v>0</v>
      </c>
      <c r="G315">
        <f>Raw_Data!E315</f>
        <v>33133.230000000003</v>
      </c>
      <c r="H315">
        <f>Raw_Data!I315</f>
        <v>48666.14</v>
      </c>
      <c r="I315">
        <f>Raw_Data!J315</f>
        <v>0</v>
      </c>
      <c r="J315">
        <f t="shared" si="9"/>
        <v>2</v>
      </c>
      <c r="K315" t="str">
        <f t="shared" si="10"/>
        <v>Low Risk</v>
      </c>
    </row>
    <row r="316" spans="1:11" x14ac:dyDescent="0.35">
      <c r="A316">
        <f>Raw_Data!A316</f>
        <v>315</v>
      </c>
      <c r="B316">
        <f>Raw_Data!B316</f>
        <v>66</v>
      </c>
      <c r="C316">
        <f>Raw_Data!D316</f>
        <v>26</v>
      </c>
      <c r="D316">
        <f>Raw_Data!F316</f>
        <v>4</v>
      </c>
      <c r="E316">
        <f>Raw_Data!H316</f>
        <v>1</v>
      </c>
      <c r="F316">
        <f>Raw_Data!G316</f>
        <v>0</v>
      </c>
      <c r="G316">
        <f>Raw_Data!E316</f>
        <v>4614.24</v>
      </c>
      <c r="H316">
        <f>Raw_Data!I316</f>
        <v>44175</v>
      </c>
      <c r="I316">
        <f>Raw_Data!J316</f>
        <v>0</v>
      </c>
      <c r="J316">
        <f t="shared" si="9"/>
        <v>3</v>
      </c>
      <c r="K316" t="str">
        <f t="shared" si="10"/>
        <v>Medium Risk</v>
      </c>
    </row>
    <row r="317" spans="1:11" x14ac:dyDescent="0.35">
      <c r="A317">
        <f>Raw_Data!A317</f>
        <v>316</v>
      </c>
      <c r="B317">
        <f>Raw_Data!B317</f>
        <v>25</v>
      </c>
      <c r="C317">
        <f>Raw_Data!D317</f>
        <v>29</v>
      </c>
      <c r="D317">
        <f>Raw_Data!F317</f>
        <v>1</v>
      </c>
      <c r="E317">
        <f>Raw_Data!H317</f>
        <v>0</v>
      </c>
      <c r="F317">
        <f>Raw_Data!G317</f>
        <v>0</v>
      </c>
      <c r="G317">
        <f>Raw_Data!E317</f>
        <v>29816.080000000002</v>
      </c>
      <c r="H317">
        <f>Raw_Data!I317</f>
        <v>143606.43</v>
      </c>
      <c r="I317">
        <f>Raw_Data!J317</f>
        <v>0</v>
      </c>
      <c r="J317">
        <f t="shared" si="9"/>
        <v>2</v>
      </c>
      <c r="K317" t="str">
        <f t="shared" si="10"/>
        <v>Low Risk</v>
      </c>
    </row>
    <row r="318" spans="1:11" x14ac:dyDescent="0.35">
      <c r="A318">
        <f>Raw_Data!A318</f>
        <v>317</v>
      </c>
      <c r="B318">
        <f>Raw_Data!B318</f>
        <v>53</v>
      </c>
      <c r="C318">
        <f>Raw_Data!D318</f>
        <v>1</v>
      </c>
      <c r="D318">
        <f>Raw_Data!F318</f>
        <v>1</v>
      </c>
      <c r="E318">
        <f>Raw_Data!H318</f>
        <v>1</v>
      </c>
      <c r="F318">
        <f>Raw_Data!G318</f>
        <v>0</v>
      </c>
      <c r="G318">
        <f>Raw_Data!E318</f>
        <v>27479.18</v>
      </c>
      <c r="H318">
        <f>Raw_Data!I318</f>
        <v>47286.69</v>
      </c>
      <c r="I318">
        <f>Raw_Data!J318</f>
        <v>0</v>
      </c>
      <c r="J318">
        <f t="shared" si="9"/>
        <v>2</v>
      </c>
      <c r="K318" t="str">
        <f t="shared" si="10"/>
        <v>Low Risk</v>
      </c>
    </row>
    <row r="319" spans="1:11" x14ac:dyDescent="0.35">
      <c r="A319">
        <f>Raw_Data!A319</f>
        <v>318</v>
      </c>
      <c r="B319">
        <f>Raw_Data!B319</f>
        <v>55</v>
      </c>
      <c r="C319">
        <f>Raw_Data!D319</f>
        <v>35</v>
      </c>
      <c r="D319">
        <f>Raw_Data!F319</f>
        <v>4</v>
      </c>
      <c r="E319">
        <f>Raw_Data!H319</f>
        <v>1</v>
      </c>
      <c r="F319">
        <f>Raw_Data!G319</f>
        <v>0</v>
      </c>
      <c r="G319">
        <f>Raw_Data!E319</f>
        <v>45016.06</v>
      </c>
      <c r="H319">
        <f>Raw_Data!I319</f>
        <v>53919.42</v>
      </c>
      <c r="I319">
        <f>Raw_Data!J319</f>
        <v>0</v>
      </c>
      <c r="J319">
        <f t="shared" si="9"/>
        <v>3</v>
      </c>
      <c r="K319" t="str">
        <f t="shared" si="10"/>
        <v>Medium Risk</v>
      </c>
    </row>
    <row r="320" spans="1:11" x14ac:dyDescent="0.35">
      <c r="A320">
        <f>Raw_Data!A320</f>
        <v>319</v>
      </c>
      <c r="B320">
        <f>Raw_Data!B320</f>
        <v>57</v>
      </c>
      <c r="C320">
        <f>Raw_Data!D320</f>
        <v>70</v>
      </c>
      <c r="D320">
        <f>Raw_Data!F320</f>
        <v>4</v>
      </c>
      <c r="E320">
        <f>Raw_Data!H320</f>
        <v>1</v>
      </c>
      <c r="F320">
        <f>Raw_Data!G320</f>
        <v>0</v>
      </c>
      <c r="G320">
        <f>Raw_Data!E320</f>
        <v>20211.990000000002</v>
      </c>
      <c r="H320">
        <f>Raw_Data!I320</f>
        <v>146050.07</v>
      </c>
      <c r="I320">
        <f>Raw_Data!J320</f>
        <v>0</v>
      </c>
      <c r="J320">
        <f t="shared" si="9"/>
        <v>3</v>
      </c>
      <c r="K320" t="str">
        <f t="shared" si="10"/>
        <v>Medium Risk</v>
      </c>
    </row>
    <row r="321" spans="1:11" x14ac:dyDescent="0.35">
      <c r="A321">
        <f>Raw_Data!A321</f>
        <v>320</v>
      </c>
      <c r="B321">
        <f>Raw_Data!B321</f>
        <v>37</v>
      </c>
      <c r="C321">
        <f>Raw_Data!D321</f>
        <v>59</v>
      </c>
      <c r="D321">
        <f>Raw_Data!F321</f>
        <v>4</v>
      </c>
      <c r="E321">
        <f>Raw_Data!H321</f>
        <v>0</v>
      </c>
      <c r="F321">
        <f>Raw_Data!G321</f>
        <v>1</v>
      </c>
      <c r="G321">
        <f>Raw_Data!E321</f>
        <v>16054.05</v>
      </c>
      <c r="H321">
        <f>Raw_Data!I321</f>
        <v>115512.11</v>
      </c>
      <c r="I321">
        <f>Raw_Data!J321</f>
        <v>0</v>
      </c>
      <c r="J321">
        <f t="shared" si="9"/>
        <v>4</v>
      </c>
      <c r="K321" t="str">
        <f t="shared" si="10"/>
        <v>Medium Risk</v>
      </c>
    </row>
    <row r="322" spans="1:11" x14ac:dyDescent="0.35">
      <c r="A322">
        <f>Raw_Data!A322</f>
        <v>321</v>
      </c>
      <c r="B322">
        <f>Raw_Data!B322</f>
        <v>52</v>
      </c>
      <c r="C322">
        <f>Raw_Data!D322</f>
        <v>69</v>
      </c>
      <c r="D322">
        <f>Raw_Data!F322</f>
        <v>3</v>
      </c>
      <c r="E322">
        <f>Raw_Data!H322</f>
        <v>1</v>
      </c>
      <c r="F322">
        <f>Raw_Data!G322</f>
        <v>1</v>
      </c>
      <c r="G322">
        <f>Raw_Data!E322</f>
        <v>37492.54</v>
      </c>
      <c r="H322">
        <f>Raw_Data!I322</f>
        <v>110947.55</v>
      </c>
      <c r="I322">
        <f>Raw_Data!J322</f>
        <v>0</v>
      </c>
      <c r="J322">
        <f t="shared" si="9"/>
        <v>0</v>
      </c>
      <c r="K322" t="str">
        <f t="shared" si="10"/>
        <v>Low Risk</v>
      </c>
    </row>
    <row r="323" spans="1:11" x14ac:dyDescent="0.35">
      <c r="A323">
        <f>Raw_Data!A323</f>
        <v>322</v>
      </c>
      <c r="B323">
        <f>Raw_Data!B323</f>
        <v>65</v>
      </c>
      <c r="C323">
        <f>Raw_Data!D323</f>
        <v>33</v>
      </c>
      <c r="D323">
        <f>Raw_Data!F323</f>
        <v>4</v>
      </c>
      <c r="E323">
        <f>Raw_Data!H323</f>
        <v>0</v>
      </c>
      <c r="F323">
        <f>Raw_Data!G323</f>
        <v>0</v>
      </c>
      <c r="G323">
        <f>Raw_Data!E323</f>
        <v>20633.77</v>
      </c>
      <c r="H323">
        <f>Raw_Data!I323</f>
        <v>130880.43</v>
      </c>
      <c r="I323">
        <f>Raw_Data!J323</f>
        <v>0</v>
      </c>
      <c r="J323">
        <f t="shared" ref="J323:J386" si="11">IF(E323=0,2,0)+IF(D323=4,2,0)+IF(C323&lt;=12,2,0)+IF(B323&gt;=56,1,0)+IF(G323&gt;=40000,1,0)</f>
        <v>5</v>
      </c>
      <c r="K323" t="str">
        <f t="shared" ref="K323:K386" si="12">IF(J323&gt;=5,"High Risk",IF(J323&gt;=3,"Medium Risk","Low Risk"))</f>
        <v>High Risk</v>
      </c>
    </row>
    <row r="324" spans="1:11" x14ac:dyDescent="0.35">
      <c r="A324">
        <f>Raw_Data!A324</f>
        <v>323</v>
      </c>
      <c r="B324">
        <f>Raw_Data!B324</f>
        <v>42</v>
      </c>
      <c r="C324">
        <f>Raw_Data!D324</f>
        <v>51</v>
      </c>
      <c r="D324">
        <f>Raw_Data!F324</f>
        <v>2</v>
      </c>
      <c r="E324">
        <f>Raw_Data!H324</f>
        <v>0</v>
      </c>
      <c r="F324">
        <f>Raw_Data!G324</f>
        <v>0</v>
      </c>
      <c r="G324">
        <f>Raw_Data!E324</f>
        <v>32304.81</v>
      </c>
      <c r="H324">
        <f>Raw_Data!I324</f>
        <v>35057</v>
      </c>
      <c r="I324">
        <f>Raw_Data!J324</f>
        <v>0</v>
      </c>
      <c r="J324">
        <f t="shared" si="11"/>
        <v>2</v>
      </c>
      <c r="K324" t="str">
        <f t="shared" si="12"/>
        <v>Low Risk</v>
      </c>
    </row>
    <row r="325" spans="1:11" x14ac:dyDescent="0.35">
      <c r="A325">
        <f>Raw_Data!A325</f>
        <v>324</v>
      </c>
      <c r="B325">
        <f>Raw_Data!B325</f>
        <v>52</v>
      </c>
      <c r="C325">
        <f>Raw_Data!D325</f>
        <v>12</v>
      </c>
      <c r="D325">
        <f>Raw_Data!F325</f>
        <v>3</v>
      </c>
      <c r="E325">
        <f>Raw_Data!H325</f>
        <v>0</v>
      </c>
      <c r="F325">
        <f>Raw_Data!G325</f>
        <v>0</v>
      </c>
      <c r="G325">
        <f>Raw_Data!E325</f>
        <v>32322.5</v>
      </c>
      <c r="H325">
        <f>Raw_Data!I325</f>
        <v>111774.31</v>
      </c>
      <c r="I325">
        <f>Raw_Data!J325</f>
        <v>0</v>
      </c>
      <c r="J325">
        <f t="shared" si="11"/>
        <v>4</v>
      </c>
      <c r="K325" t="str">
        <f t="shared" si="12"/>
        <v>Medium Risk</v>
      </c>
    </row>
    <row r="326" spans="1:11" x14ac:dyDescent="0.35">
      <c r="A326">
        <f>Raw_Data!A326</f>
        <v>325</v>
      </c>
      <c r="B326">
        <f>Raw_Data!B326</f>
        <v>42</v>
      </c>
      <c r="C326">
        <f>Raw_Data!D326</f>
        <v>20</v>
      </c>
      <c r="D326">
        <f>Raw_Data!F326</f>
        <v>1</v>
      </c>
      <c r="E326">
        <f>Raw_Data!H326</f>
        <v>1</v>
      </c>
      <c r="F326">
        <f>Raw_Data!G326</f>
        <v>1</v>
      </c>
      <c r="G326">
        <f>Raw_Data!E326</f>
        <v>44401.95</v>
      </c>
      <c r="H326">
        <f>Raw_Data!I326</f>
        <v>85479.52</v>
      </c>
      <c r="I326">
        <f>Raw_Data!J326</f>
        <v>0</v>
      </c>
      <c r="J326">
        <f t="shared" si="11"/>
        <v>1</v>
      </c>
      <c r="K326" t="str">
        <f t="shared" si="12"/>
        <v>Low Risk</v>
      </c>
    </row>
    <row r="327" spans="1:11" x14ac:dyDescent="0.35">
      <c r="A327">
        <f>Raw_Data!A327</f>
        <v>326</v>
      </c>
      <c r="B327">
        <f>Raw_Data!B327</f>
        <v>46</v>
      </c>
      <c r="C327">
        <f>Raw_Data!D327</f>
        <v>53</v>
      </c>
      <c r="D327">
        <f>Raw_Data!F327</f>
        <v>1</v>
      </c>
      <c r="E327">
        <f>Raw_Data!H327</f>
        <v>0</v>
      </c>
      <c r="F327">
        <f>Raw_Data!G327</f>
        <v>0</v>
      </c>
      <c r="G327">
        <f>Raw_Data!E327</f>
        <v>29934.62</v>
      </c>
      <c r="H327">
        <f>Raw_Data!I327</f>
        <v>127789.58</v>
      </c>
      <c r="I327">
        <f>Raw_Data!J327</f>
        <v>0</v>
      </c>
      <c r="J327">
        <f t="shared" si="11"/>
        <v>2</v>
      </c>
      <c r="K327" t="str">
        <f t="shared" si="12"/>
        <v>Low Risk</v>
      </c>
    </row>
    <row r="328" spans="1:11" x14ac:dyDescent="0.35">
      <c r="A328">
        <f>Raw_Data!A328</f>
        <v>327</v>
      </c>
      <c r="B328">
        <f>Raw_Data!B328</f>
        <v>35</v>
      </c>
      <c r="C328">
        <f>Raw_Data!D328</f>
        <v>43</v>
      </c>
      <c r="D328">
        <f>Raw_Data!F328</f>
        <v>1</v>
      </c>
      <c r="E328">
        <f>Raw_Data!H328</f>
        <v>0</v>
      </c>
      <c r="F328">
        <f>Raw_Data!G328</f>
        <v>1</v>
      </c>
      <c r="G328">
        <f>Raw_Data!E328</f>
        <v>25107.68</v>
      </c>
      <c r="H328">
        <f>Raw_Data!I328</f>
        <v>86058.42</v>
      </c>
      <c r="I328">
        <f>Raw_Data!J328</f>
        <v>0</v>
      </c>
      <c r="J328">
        <f t="shared" si="11"/>
        <v>2</v>
      </c>
      <c r="K328" t="str">
        <f t="shared" si="12"/>
        <v>Low Risk</v>
      </c>
    </row>
    <row r="329" spans="1:11" x14ac:dyDescent="0.35">
      <c r="A329">
        <f>Raw_Data!A329</f>
        <v>328</v>
      </c>
      <c r="B329">
        <f>Raw_Data!B329</f>
        <v>63</v>
      </c>
      <c r="C329">
        <f>Raw_Data!D329</f>
        <v>50</v>
      </c>
      <c r="D329">
        <f>Raw_Data!F329</f>
        <v>3</v>
      </c>
      <c r="E329">
        <f>Raw_Data!H329</f>
        <v>0</v>
      </c>
      <c r="F329">
        <f>Raw_Data!G329</f>
        <v>1</v>
      </c>
      <c r="G329">
        <f>Raw_Data!E329</f>
        <v>6943.57</v>
      </c>
      <c r="H329">
        <f>Raw_Data!I329</f>
        <v>100631.38</v>
      </c>
      <c r="I329">
        <f>Raw_Data!J329</f>
        <v>0</v>
      </c>
      <c r="J329">
        <f t="shared" si="11"/>
        <v>3</v>
      </c>
      <c r="K329" t="str">
        <f t="shared" si="12"/>
        <v>Medium Risk</v>
      </c>
    </row>
    <row r="330" spans="1:11" x14ac:dyDescent="0.35">
      <c r="A330">
        <f>Raw_Data!A330</f>
        <v>329</v>
      </c>
      <c r="B330">
        <f>Raw_Data!B330</f>
        <v>35</v>
      </c>
      <c r="C330">
        <f>Raw_Data!D330</f>
        <v>29</v>
      </c>
      <c r="D330">
        <f>Raw_Data!F330</f>
        <v>2</v>
      </c>
      <c r="E330">
        <f>Raw_Data!H330</f>
        <v>1</v>
      </c>
      <c r="F330">
        <f>Raw_Data!G330</f>
        <v>1</v>
      </c>
      <c r="G330">
        <f>Raw_Data!E330</f>
        <v>5786.88</v>
      </c>
      <c r="H330">
        <f>Raw_Data!I330</f>
        <v>82106.48</v>
      </c>
      <c r="I330">
        <f>Raw_Data!J330</f>
        <v>0</v>
      </c>
      <c r="J330">
        <f t="shared" si="11"/>
        <v>0</v>
      </c>
      <c r="K330" t="str">
        <f t="shared" si="12"/>
        <v>Low Risk</v>
      </c>
    </row>
    <row r="331" spans="1:11" x14ac:dyDescent="0.35">
      <c r="A331">
        <f>Raw_Data!A331</f>
        <v>330</v>
      </c>
      <c r="B331">
        <f>Raw_Data!B331</f>
        <v>19</v>
      </c>
      <c r="C331">
        <f>Raw_Data!D331</f>
        <v>57</v>
      </c>
      <c r="D331">
        <f>Raw_Data!F331</f>
        <v>4</v>
      </c>
      <c r="E331">
        <f>Raw_Data!H331</f>
        <v>1</v>
      </c>
      <c r="F331">
        <f>Raw_Data!G331</f>
        <v>1</v>
      </c>
      <c r="G331">
        <f>Raw_Data!E331</f>
        <v>7716.08</v>
      </c>
      <c r="H331">
        <f>Raw_Data!I331</f>
        <v>82160.66</v>
      </c>
      <c r="I331">
        <f>Raw_Data!J331</f>
        <v>0</v>
      </c>
      <c r="J331">
        <f t="shared" si="11"/>
        <v>2</v>
      </c>
      <c r="K331" t="str">
        <f t="shared" si="12"/>
        <v>Low Risk</v>
      </c>
    </row>
    <row r="332" spans="1:11" x14ac:dyDescent="0.35">
      <c r="A332">
        <f>Raw_Data!A332</f>
        <v>331</v>
      </c>
      <c r="B332">
        <f>Raw_Data!B332</f>
        <v>52</v>
      </c>
      <c r="C332">
        <f>Raw_Data!D332</f>
        <v>39</v>
      </c>
      <c r="D332">
        <f>Raw_Data!F332</f>
        <v>4</v>
      </c>
      <c r="E332">
        <f>Raw_Data!H332</f>
        <v>1</v>
      </c>
      <c r="F332">
        <f>Raw_Data!G332</f>
        <v>1</v>
      </c>
      <c r="G332">
        <f>Raw_Data!E332</f>
        <v>8592.42</v>
      </c>
      <c r="H332">
        <f>Raw_Data!I332</f>
        <v>119836.1</v>
      </c>
      <c r="I332">
        <f>Raw_Data!J332</f>
        <v>0</v>
      </c>
      <c r="J332">
        <f t="shared" si="11"/>
        <v>2</v>
      </c>
      <c r="K332" t="str">
        <f t="shared" si="12"/>
        <v>Low Risk</v>
      </c>
    </row>
    <row r="333" spans="1:11" x14ac:dyDescent="0.35">
      <c r="A333">
        <f>Raw_Data!A333</f>
        <v>332</v>
      </c>
      <c r="B333">
        <f>Raw_Data!B333</f>
        <v>33</v>
      </c>
      <c r="C333">
        <f>Raw_Data!D333</f>
        <v>56</v>
      </c>
      <c r="D333">
        <f>Raw_Data!F333</f>
        <v>1</v>
      </c>
      <c r="E333">
        <f>Raw_Data!H333</f>
        <v>0</v>
      </c>
      <c r="F333">
        <f>Raw_Data!G333</f>
        <v>0</v>
      </c>
      <c r="G333">
        <f>Raw_Data!E333</f>
        <v>31893.85</v>
      </c>
      <c r="H333">
        <f>Raw_Data!I333</f>
        <v>101713.63</v>
      </c>
      <c r="I333">
        <f>Raw_Data!J333</f>
        <v>0</v>
      </c>
      <c r="J333">
        <f t="shared" si="11"/>
        <v>2</v>
      </c>
      <c r="K333" t="str">
        <f t="shared" si="12"/>
        <v>Low Risk</v>
      </c>
    </row>
    <row r="334" spans="1:11" x14ac:dyDescent="0.35">
      <c r="A334">
        <f>Raw_Data!A334</f>
        <v>333</v>
      </c>
      <c r="B334">
        <f>Raw_Data!B334</f>
        <v>58</v>
      </c>
      <c r="C334">
        <f>Raw_Data!D334</f>
        <v>43</v>
      </c>
      <c r="D334">
        <f>Raw_Data!F334</f>
        <v>1</v>
      </c>
      <c r="E334">
        <f>Raw_Data!H334</f>
        <v>1</v>
      </c>
      <c r="F334">
        <f>Raw_Data!G334</f>
        <v>0</v>
      </c>
      <c r="G334">
        <f>Raw_Data!E334</f>
        <v>37049.06</v>
      </c>
      <c r="H334">
        <f>Raw_Data!I334</f>
        <v>102324.22</v>
      </c>
      <c r="I334">
        <f>Raw_Data!J334</f>
        <v>0</v>
      </c>
      <c r="J334">
        <f t="shared" si="11"/>
        <v>1</v>
      </c>
      <c r="K334" t="str">
        <f t="shared" si="12"/>
        <v>Low Risk</v>
      </c>
    </row>
    <row r="335" spans="1:11" x14ac:dyDescent="0.35">
      <c r="A335">
        <f>Raw_Data!A335</f>
        <v>334</v>
      </c>
      <c r="B335">
        <f>Raw_Data!B335</f>
        <v>53</v>
      </c>
      <c r="C335">
        <f>Raw_Data!D335</f>
        <v>50</v>
      </c>
      <c r="D335">
        <f>Raw_Data!F335</f>
        <v>3</v>
      </c>
      <c r="E335">
        <f>Raw_Data!H335</f>
        <v>0</v>
      </c>
      <c r="F335">
        <f>Raw_Data!G335</f>
        <v>1</v>
      </c>
      <c r="G335">
        <f>Raw_Data!E335</f>
        <v>26499.58</v>
      </c>
      <c r="H335">
        <f>Raw_Data!I335</f>
        <v>78536.72</v>
      </c>
      <c r="I335">
        <f>Raw_Data!J335</f>
        <v>0</v>
      </c>
      <c r="J335">
        <f t="shared" si="11"/>
        <v>2</v>
      </c>
      <c r="K335" t="str">
        <f t="shared" si="12"/>
        <v>Low Risk</v>
      </c>
    </row>
    <row r="336" spans="1:11" x14ac:dyDescent="0.35">
      <c r="A336">
        <f>Raw_Data!A336</f>
        <v>335</v>
      </c>
      <c r="B336">
        <f>Raw_Data!B336</f>
        <v>50</v>
      </c>
      <c r="C336">
        <f>Raw_Data!D336</f>
        <v>23</v>
      </c>
      <c r="D336">
        <f>Raw_Data!F336</f>
        <v>2</v>
      </c>
      <c r="E336">
        <f>Raw_Data!H336</f>
        <v>0</v>
      </c>
      <c r="F336">
        <f>Raw_Data!G336</f>
        <v>0</v>
      </c>
      <c r="G336">
        <f>Raw_Data!E336</f>
        <v>41450.89</v>
      </c>
      <c r="H336">
        <f>Raw_Data!I336</f>
        <v>89044.23</v>
      </c>
      <c r="I336">
        <f>Raw_Data!J336</f>
        <v>0</v>
      </c>
      <c r="J336">
        <f t="shared" si="11"/>
        <v>3</v>
      </c>
      <c r="K336" t="str">
        <f t="shared" si="12"/>
        <v>Medium Risk</v>
      </c>
    </row>
    <row r="337" spans="1:11" x14ac:dyDescent="0.35">
      <c r="A337">
        <f>Raw_Data!A337</f>
        <v>336</v>
      </c>
      <c r="B337">
        <f>Raw_Data!B337</f>
        <v>21</v>
      </c>
      <c r="C337">
        <f>Raw_Data!D337</f>
        <v>44</v>
      </c>
      <c r="D337">
        <f>Raw_Data!F337</f>
        <v>4</v>
      </c>
      <c r="E337">
        <f>Raw_Data!H337</f>
        <v>1</v>
      </c>
      <c r="F337">
        <f>Raw_Data!G337</f>
        <v>1</v>
      </c>
      <c r="G337">
        <f>Raw_Data!E337</f>
        <v>49563.16</v>
      </c>
      <c r="H337">
        <f>Raw_Data!I337</f>
        <v>116943.3</v>
      </c>
      <c r="I337">
        <f>Raw_Data!J337</f>
        <v>0</v>
      </c>
      <c r="J337">
        <f t="shared" si="11"/>
        <v>3</v>
      </c>
      <c r="K337" t="str">
        <f t="shared" si="12"/>
        <v>Medium Risk</v>
      </c>
    </row>
    <row r="338" spans="1:11" x14ac:dyDescent="0.35">
      <c r="A338">
        <f>Raw_Data!A338</f>
        <v>337</v>
      </c>
      <c r="B338">
        <f>Raw_Data!B338</f>
        <v>50</v>
      </c>
      <c r="C338">
        <f>Raw_Data!D338</f>
        <v>38</v>
      </c>
      <c r="D338">
        <f>Raw_Data!F338</f>
        <v>3</v>
      </c>
      <c r="E338">
        <f>Raw_Data!H338</f>
        <v>0</v>
      </c>
      <c r="F338">
        <f>Raw_Data!G338</f>
        <v>1</v>
      </c>
      <c r="G338">
        <f>Raw_Data!E338</f>
        <v>41000.629999999997</v>
      </c>
      <c r="H338">
        <f>Raw_Data!I338</f>
        <v>127372.32</v>
      </c>
      <c r="I338">
        <f>Raw_Data!J338</f>
        <v>0</v>
      </c>
      <c r="J338">
        <f t="shared" si="11"/>
        <v>3</v>
      </c>
      <c r="K338" t="str">
        <f t="shared" si="12"/>
        <v>Medium Risk</v>
      </c>
    </row>
    <row r="339" spans="1:11" x14ac:dyDescent="0.35">
      <c r="A339">
        <f>Raw_Data!A339</f>
        <v>338</v>
      </c>
      <c r="B339">
        <f>Raw_Data!B339</f>
        <v>31</v>
      </c>
      <c r="C339">
        <f>Raw_Data!D339</f>
        <v>23</v>
      </c>
      <c r="D339">
        <f>Raw_Data!F339</f>
        <v>4</v>
      </c>
      <c r="E339">
        <f>Raw_Data!H339</f>
        <v>1</v>
      </c>
      <c r="F339">
        <f>Raw_Data!G339</f>
        <v>0</v>
      </c>
      <c r="G339">
        <f>Raw_Data!E339</f>
        <v>34744.120000000003</v>
      </c>
      <c r="H339">
        <f>Raw_Data!I339</f>
        <v>110552.98</v>
      </c>
      <c r="I339">
        <f>Raw_Data!J339</f>
        <v>0</v>
      </c>
      <c r="J339">
        <f t="shared" si="11"/>
        <v>2</v>
      </c>
      <c r="K339" t="str">
        <f t="shared" si="12"/>
        <v>Low Risk</v>
      </c>
    </row>
    <row r="340" spans="1:11" x14ac:dyDescent="0.35">
      <c r="A340">
        <f>Raw_Data!A340</f>
        <v>339</v>
      </c>
      <c r="B340">
        <f>Raw_Data!B340</f>
        <v>38</v>
      </c>
      <c r="C340">
        <f>Raw_Data!D340</f>
        <v>45</v>
      </c>
      <c r="D340">
        <f>Raw_Data!F340</f>
        <v>1</v>
      </c>
      <c r="E340">
        <f>Raw_Data!H340</f>
        <v>0</v>
      </c>
      <c r="F340">
        <f>Raw_Data!G340</f>
        <v>0</v>
      </c>
      <c r="G340">
        <f>Raw_Data!E340</f>
        <v>26624.63</v>
      </c>
      <c r="H340">
        <f>Raw_Data!I340</f>
        <v>140129.49</v>
      </c>
      <c r="I340">
        <f>Raw_Data!J340</f>
        <v>0</v>
      </c>
      <c r="J340">
        <f t="shared" si="11"/>
        <v>2</v>
      </c>
      <c r="K340" t="str">
        <f t="shared" si="12"/>
        <v>Low Risk</v>
      </c>
    </row>
    <row r="341" spans="1:11" x14ac:dyDescent="0.35">
      <c r="A341">
        <f>Raw_Data!A341</f>
        <v>340</v>
      </c>
      <c r="B341">
        <f>Raw_Data!B341</f>
        <v>65</v>
      </c>
      <c r="C341">
        <f>Raw_Data!D341</f>
        <v>52</v>
      </c>
      <c r="D341">
        <f>Raw_Data!F341</f>
        <v>4</v>
      </c>
      <c r="E341">
        <f>Raw_Data!H341</f>
        <v>1</v>
      </c>
      <c r="F341">
        <f>Raw_Data!G341</f>
        <v>0</v>
      </c>
      <c r="G341">
        <f>Raw_Data!E341</f>
        <v>22442.65</v>
      </c>
      <c r="H341">
        <f>Raw_Data!I341</f>
        <v>126642.13</v>
      </c>
      <c r="I341">
        <f>Raw_Data!J341</f>
        <v>0</v>
      </c>
      <c r="J341">
        <f t="shared" si="11"/>
        <v>3</v>
      </c>
      <c r="K341" t="str">
        <f t="shared" si="12"/>
        <v>Medium Risk</v>
      </c>
    </row>
    <row r="342" spans="1:11" x14ac:dyDescent="0.35">
      <c r="A342">
        <f>Raw_Data!A342</f>
        <v>341</v>
      </c>
      <c r="B342">
        <f>Raw_Data!B342</f>
        <v>37</v>
      </c>
      <c r="C342">
        <f>Raw_Data!D342</f>
        <v>50</v>
      </c>
      <c r="D342">
        <f>Raw_Data!F342</f>
        <v>2</v>
      </c>
      <c r="E342">
        <f>Raw_Data!H342</f>
        <v>0</v>
      </c>
      <c r="F342">
        <f>Raw_Data!G342</f>
        <v>0</v>
      </c>
      <c r="G342">
        <f>Raw_Data!E342</f>
        <v>4219.62</v>
      </c>
      <c r="H342">
        <f>Raw_Data!I342</f>
        <v>93042.29</v>
      </c>
      <c r="I342">
        <f>Raw_Data!J342</f>
        <v>0</v>
      </c>
      <c r="J342">
        <f t="shared" si="11"/>
        <v>2</v>
      </c>
      <c r="K342" t="str">
        <f t="shared" si="12"/>
        <v>Low Risk</v>
      </c>
    </row>
    <row r="343" spans="1:11" x14ac:dyDescent="0.35">
      <c r="A343">
        <f>Raw_Data!A343</f>
        <v>342</v>
      </c>
      <c r="B343">
        <f>Raw_Data!B343</f>
        <v>25</v>
      </c>
      <c r="C343">
        <f>Raw_Data!D343</f>
        <v>8</v>
      </c>
      <c r="D343">
        <f>Raw_Data!F343</f>
        <v>2</v>
      </c>
      <c r="E343">
        <f>Raw_Data!H343</f>
        <v>0</v>
      </c>
      <c r="F343">
        <f>Raw_Data!G343</f>
        <v>0</v>
      </c>
      <c r="G343">
        <f>Raw_Data!E343</f>
        <v>19968.439999999999</v>
      </c>
      <c r="H343">
        <f>Raw_Data!I343</f>
        <v>107282.79</v>
      </c>
      <c r="I343">
        <f>Raw_Data!J343</f>
        <v>0</v>
      </c>
      <c r="J343">
        <f t="shared" si="11"/>
        <v>4</v>
      </c>
      <c r="K343" t="str">
        <f t="shared" si="12"/>
        <v>Medium Risk</v>
      </c>
    </row>
    <row r="344" spans="1:11" x14ac:dyDescent="0.35">
      <c r="A344">
        <f>Raw_Data!A344</f>
        <v>343</v>
      </c>
      <c r="B344">
        <f>Raw_Data!B344</f>
        <v>24</v>
      </c>
      <c r="C344">
        <f>Raw_Data!D344</f>
        <v>1</v>
      </c>
      <c r="D344">
        <f>Raw_Data!F344</f>
        <v>1</v>
      </c>
      <c r="E344">
        <f>Raw_Data!H344</f>
        <v>0</v>
      </c>
      <c r="F344">
        <f>Raw_Data!G344</f>
        <v>1</v>
      </c>
      <c r="G344">
        <f>Raw_Data!E344</f>
        <v>45506.73</v>
      </c>
      <c r="H344">
        <f>Raw_Data!I344</f>
        <v>140420.07999999999</v>
      </c>
      <c r="I344">
        <f>Raw_Data!J344</f>
        <v>0</v>
      </c>
      <c r="J344">
        <f t="shared" si="11"/>
        <v>5</v>
      </c>
      <c r="K344" t="str">
        <f t="shared" si="12"/>
        <v>High Risk</v>
      </c>
    </row>
    <row r="345" spans="1:11" x14ac:dyDescent="0.35">
      <c r="A345">
        <f>Raw_Data!A345</f>
        <v>344</v>
      </c>
      <c r="B345">
        <f>Raw_Data!B345</f>
        <v>20</v>
      </c>
      <c r="C345">
        <f>Raw_Data!D345</f>
        <v>8</v>
      </c>
      <c r="D345">
        <f>Raw_Data!F345</f>
        <v>2</v>
      </c>
      <c r="E345">
        <f>Raw_Data!H345</f>
        <v>0</v>
      </c>
      <c r="F345">
        <f>Raw_Data!G345</f>
        <v>0</v>
      </c>
      <c r="G345">
        <f>Raw_Data!E345</f>
        <v>40401.129999999997</v>
      </c>
      <c r="H345">
        <f>Raw_Data!I345</f>
        <v>100491.85</v>
      </c>
      <c r="I345">
        <f>Raw_Data!J345</f>
        <v>0</v>
      </c>
      <c r="J345">
        <f t="shared" si="11"/>
        <v>5</v>
      </c>
      <c r="K345" t="str">
        <f t="shared" si="12"/>
        <v>High Risk</v>
      </c>
    </row>
    <row r="346" spans="1:11" x14ac:dyDescent="0.35">
      <c r="A346">
        <f>Raw_Data!A346</f>
        <v>345</v>
      </c>
      <c r="B346">
        <f>Raw_Data!B346</f>
        <v>34</v>
      </c>
      <c r="C346">
        <f>Raw_Data!D346</f>
        <v>29</v>
      </c>
      <c r="D346">
        <f>Raw_Data!F346</f>
        <v>2</v>
      </c>
      <c r="E346">
        <f>Raw_Data!H346</f>
        <v>0</v>
      </c>
      <c r="F346">
        <f>Raw_Data!G346</f>
        <v>0</v>
      </c>
      <c r="G346">
        <f>Raw_Data!E346</f>
        <v>10802.57</v>
      </c>
      <c r="H346">
        <f>Raw_Data!I346</f>
        <v>127224.9</v>
      </c>
      <c r="I346">
        <f>Raw_Data!J346</f>
        <v>0</v>
      </c>
      <c r="J346">
        <f t="shared" si="11"/>
        <v>2</v>
      </c>
      <c r="K346" t="str">
        <f t="shared" si="12"/>
        <v>Low Risk</v>
      </c>
    </row>
    <row r="347" spans="1:11" x14ac:dyDescent="0.35">
      <c r="A347">
        <f>Raw_Data!A347</f>
        <v>346</v>
      </c>
      <c r="B347">
        <f>Raw_Data!B347</f>
        <v>50</v>
      </c>
      <c r="C347">
        <f>Raw_Data!D347</f>
        <v>5</v>
      </c>
      <c r="D347">
        <f>Raw_Data!F347</f>
        <v>3</v>
      </c>
      <c r="E347">
        <f>Raw_Data!H347</f>
        <v>1</v>
      </c>
      <c r="F347">
        <f>Raw_Data!G347</f>
        <v>0</v>
      </c>
      <c r="G347">
        <f>Raw_Data!E347</f>
        <v>23330.39</v>
      </c>
      <c r="H347">
        <f>Raw_Data!I347</f>
        <v>109545.37</v>
      </c>
      <c r="I347">
        <f>Raw_Data!J347</f>
        <v>0</v>
      </c>
      <c r="J347">
        <f t="shared" si="11"/>
        <v>2</v>
      </c>
      <c r="K347" t="str">
        <f t="shared" si="12"/>
        <v>Low Risk</v>
      </c>
    </row>
    <row r="348" spans="1:11" x14ac:dyDescent="0.35">
      <c r="A348">
        <f>Raw_Data!A348</f>
        <v>347</v>
      </c>
      <c r="B348">
        <f>Raw_Data!B348</f>
        <v>65</v>
      </c>
      <c r="C348">
        <f>Raw_Data!D348</f>
        <v>47</v>
      </c>
      <c r="D348">
        <f>Raw_Data!F348</f>
        <v>4</v>
      </c>
      <c r="E348">
        <f>Raw_Data!H348</f>
        <v>0</v>
      </c>
      <c r="F348">
        <f>Raw_Data!G348</f>
        <v>1</v>
      </c>
      <c r="G348">
        <f>Raw_Data!E348</f>
        <v>40836.160000000003</v>
      </c>
      <c r="H348">
        <f>Raw_Data!I348</f>
        <v>91751.73</v>
      </c>
      <c r="I348">
        <f>Raw_Data!J348</f>
        <v>0</v>
      </c>
      <c r="J348">
        <f t="shared" si="11"/>
        <v>6</v>
      </c>
      <c r="K348" t="str">
        <f t="shared" si="12"/>
        <v>High Risk</v>
      </c>
    </row>
    <row r="349" spans="1:11" x14ac:dyDescent="0.35">
      <c r="A349">
        <f>Raw_Data!A349</f>
        <v>348</v>
      </c>
      <c r="B349">
        <f>Raw_Data!B349</f>
        <v>29</v>
      </c>
      <c r="C349">
        <f>Raw_Data!D349</f>
        <v>34</v>
      </c>
      <c r="D349">
        <f>Raw_Data!F349</f>
        <v>1</v>
      </c>
      <c r="E349">
        <f>Raw_Data!H349</f>
        <v>1</v>
      </c>
      <c r="F349">
        <f>Raw_Data!G349</f>
        <v>0</v>
      </c>
      <c r="G349">
        <f>Raw_Data!E349</f>
        <v>3369.23</v>
      </c>
      <c r="H349">
        <f>Raw_Data!I349</f>
        <v>51438.97</v>
      </c>
      <c r="I349">
        <f>Raw_Data!J349</f>
        <v>0</v>
      </c>
      <c r="J349">
        <f t="shared" si="11"/>
        <v>0</v>
      </c>
      <c r="K349" t="str">
        <f t="shared" si="12"/>
        <v>Low Risk</v>
      </c>
    </row>
    <row r="350" spans="1:11" x14ac:dyDescent="0.35">
      <c r="A350">
        <f>Raw_Data!A350</f>
        <v>349</v>
      </c>
      <c r="B350">
        <f>Raw_Data!B350</f>
        <v>68</v>
      </c>
      <c r="C350">
        <f>Raw_Data!D350</f>
        <v>65</v>
      </c>
      <c r="D350">
        <f>Raw_Data!F350</f>
        <v>1</v>
      </c>
      <c r="E350">
        <f>Raw_Data!H350</f>
        <v>1</v>
      </c>
      <c r="F350">
        <f>Raw_Data!G350</f>
        <v>1</v>
      </c>
      <c r="G350">
        <f>Raw_Data!E350</f>
        <v>19369.63</v>
      </c>
      <c r="H350">
        <f>Raw_Data!I350</f>
        <v>75379.679999999993</v>
      </c>
      <c r="I350">
        <f>Raw_Data!J350</f>
        <v>0</v>
      </c>
      <c r="J350">
        <f t="shared" si="11"/>
        <v>1</v>
      </c>
      <c r="K350" t="str">
        <f t="shared" si="12"/>
        <v>Low Risk</v>
      </c>
    </row>
    <row r="351" spans="1:11" x14ac:dyDescent="0.35">
      <c r="A351">
        <f>Raw_Data!A351</f>
        <v>350</v>
      </c>
      <c r="B351">
        <f>Raw_Data!B351</f>
        <v>39</v>
      </c>
      <c r="C351">
        <f>Raw_Data!D351</f>
        <v>55</v>
      </c>
      <c r="D351">
        <f>Raw_Data!F351</f>
        <v>1</v>
      </c>
      <c r="E351">
        <f>Raw_Data!H351</f>
        <v>1</v>
      </c>
      <c r="F351">
        <f>Raw_Data!G351</f>
        <v>0</v>
      </c>
      <c r="G351">
        <f>Raw_Data!E351</f>
        <v>42592.06</v>
      </c>
      <c r="H351">
        <f>Raw_Data!I351</f>
        <v>145806.57</v>
      </c>
      <c r="I351">
        <f>Raw_Data!J351</f>
        <v>0</v>
      </c>
      <c r="J351">
        <f t="shared" si="11"/>
        <v>1</v>
      </c>
      <c r="K351" t="str">
        <f t="shared" si="12"/>
        <v>Low Risk</v>
      </c>
    </row>
    <row r="352" spans="1:11" x14ac:dyDescent="0.35">
      <c r="A352">
        <f>Raw_Data!A352</f>
        <v>351</v>
      </c>
      <c r="B352">
        <f>Raw_Data!B352</f>
        <v>39</v>
      </c>
      <c r="C352">
        <f>Raw_Data!D352</f>
        <v>43</v>
      </c>
      <c r="D352">
        <f>Raw_Data!F352</f>
        <v>1</v>
      </c>
      <c r="E352">
        <f>Raw_Data!H352</f>
        <v>0</v>
      </c>
      <c r="F352">
        <f>Raw_Data!G352</f>
        <v>0</v>
      </c>
      <c r="G352">
        <f>Raw_Data!E352</f>
        <v>20194.89</v>
      </c>
      <c r="H352">
        <f>Raw_Data!I352</f>
        <v>105509.5</v>
      </c>
      <c r="I352">
        <f>Raw_Data!J352</f>
        <v>0</v>
      </c>
      <c r="J352">
        <f t="shared" si="11"/>
        <v>2</v>
      </c>
      <c r="K352" t="str">
        <f t="shared" si="12"/>
        <v>Low Risk</v>
      </c>
    </row>
    <row r="353" spans="1:11" x14ac:dyDescent="0.35">
      <c r="A353">
        <f>Raw_Data!A353</f>
        <v>352</v>
      </c>
      <c r="B353">
        <f>Raw_Data!B353</f>
        <v>63</v>
      </c>
      <c r="C353">
        <f>Raw_Data!D353</f>
        <v>30</v>
      </c>
      <c r="D353">
        <f>Raw_Data!F353</f>
        <v>1</v>
      </c>
      <c r="E353">
        <f>Raw_Data!H353</f>
        <v>0</v>
      </c>
      <c r="F353">
        <f>Raw_Data!G353</f>
        <v>1</v>
      </c>
      <c r="G353">
        <f>Raw_Data!E353</f>
        <v>3880.73</v>
      </c>
      <c r="H353">
        <f>Raw_Data!I353</f>
        <v>93371.4</v>
      </c>
      <c r="I353">
        <f>Raw_Data!J353</f>
        <v>0</v>
      </c>
      <c r="J353">
        <f t="shared" si="11"/>
        <v>3</v>
      </c>
      <c r="K353" t="str">
        <f t="shared" si="12"/>
        <v>Medium Risk</v>
      </c>
    </row>
    <row r="354" spans="1:11" x14ac:dyDescent="0.35">
      <c r="A354">
        <f>Raw_Data!A354</f>
        <v>353</v>
      </c>
      <c r="B354">
        <f>Raw_Data!B354</f>
        <v>47</v>
      </c>
      <c r="C354">
        <f>Raw_Data!D354</f>
        <v>17</v>
      </c>
      <c r="D354">
        <f>Raw_Data!F354</f>
        <v>2</v>
      </c>
      <c r="E354">
        <f>Raw_Data!H354</f>
        <v>0</v>
      </c>
      <c r="F354">
        <f>Raw_Data!G354</f>
        <v>0</v>
      </c>
      <c r="G354">
        <f>Raw_Data!E354</f>
        <v>27126.720000000001</v>
      </c>
      <c r="H354">
        <f>Raw_Data!I354</f>
        <v>141284.35999999999</v>
      </c>
      <c r="I354">
        <f>Raw_Data!J354</f>
        <v>0</v>
      </c>
      <c r="J354">
        <f t="shared" si="11"/>
        <v>2</v>
      </c>
      <c r="K354" t="str">
        <f t="shared" si="12"/>
        <v>Low Risk</v>
      </c>
    </row>
    <row r="355" spans="1:11" x14ac:dyDescent="0.35">
      <c r="A355">
        <f>Raw_Data!A355</f>
        <v>354</v>
      </c>
      <c r="B355">
        <f>Raw_Data!B355</f>
        <v>55</v>
      </c>
      <c r="C355">
        <f>Raw_Data!D355</f>
        <v>26</v>
      </c>
      <c r="D355">
        <f>Raw_Data!F355</f>
        <v>3</v>
      </c>
      <c r="E355">
        <f>Raw_Data!H355</f>
        <v>1</v>
      </c>
      <c r="F355">
        <f>Raw_Data!G355</f>
        <v>0</v>
      </c>
      <c r="G355">
        <f>Raw_Data!E355</f>
        <v>43087.12</v>
      </c>
      <c r="H355">
        <f>Raw_Data!I355</f>
        <v>96246.53</v>
      </c>
      <c r="I355">
        <f>Raw_Data!J355</f>
        <v>0</v>
      </c>
      <c r="J355">
        <f t="shared" si="11"/>
        <v>1</v>
      </c>
      <c r="K355" t="str">
        <f t="shared" si="12"/>
        <v>Low Risk</v>
      </c>
    </row>
    <row r="356" spans="1:11" x14ac:dyDescent="0.35">
      <c r="A356">
        <f>Raw_Data!A356</f>
        <v>355</v>
      </c>
      <c r="B356">
        <f>Raw_Data!B356</f>
        <v>55</v>
      </c>
      <c r="C356">
        <f>Raw_Data!D356</f>
        <v>8</v>
      </c>
      <c r="D356">
        <f>Raw_Data!F356</f>
        <v>1</v>
      </c>
      <c r="E356">
        <f>Raw_Data!H356</f>
        <v>0</v>
      </c>
      <c r="F356">
        <f>Raw_Data!G356</f>
        <v>1</v>
      </c>
      <c r="G356">
        <f>Raw_Data!E356</f>
        <v>29514.28</v>
      </c>
      <c r="H356">
        <f>Raw_Data!I356</f>
        <v>88390.73</v>
      </c>
      <c r="I356">
        <f>Raw_Data!J356</f>
        <v>0</v>
      </c>
      <c r="J356">
        <f t="shared" si="11"/>
        <v>4</v>
      </c>
      <c r="K356" t="str">
        <f t="shared" si="12"/>
        <v>Medium Risk</v>
      </c>
    </row>
    <row r="357" spans="1:11" x14ac:dyDescent="0.35">
      <c r="A357">
        <f>Raw_Data!A357</f>
        <v>356</v>
      </c>
      <c r="B357">
        <f>Raw_Data!B357</f>
        <v>62</v>
      </c>
      <c r="C357">
        <f>Raw_Data!D357</f>
        <v>47</v>
      </c>
      <c r="D357">
        <f>Raw_Data!F357</f>
        <v>3</v>
      </c>
      <c r="E357">
        <f>Raw_Data!H357</f>
        <v>0</v>
      </c>
      <c r="F357">
        <f>Raw_Data!G357</f>
        <v>0</v>
      </c>
      <c r="G357">
        <f>Raw_Data!E357</f>
        <v>11313.96</v>
      </c>
      <c r="H357">
        <f>Raw_Data!I357</f>
        <v>118710.41</v>
      </c>
      <c r="I357">
        <f>Raw_Data!J357</f>
        <v>0</v>
      </c>
      <c r="J357">
        <f t="shared" si="11"/>
        <v>3</v>
      </c>
      <c r="K357" t="str">
        <f t="shared" si="12"/>
        <v>Medium Risk</v>
      </c>
    </row>
    <row r="358" spans="1:11" x14ac:dyDescent="0.35">
      <c r="A358">
        <f>Raw_Data!A358</f>
        <v>357</v>
      </c>
      <c r="B358">
        <f>Raw_Data!B358</f>
        <v>68</v>
      </c>
      <c r="C358">
        <f>Raw_Data!D358</f>
        <v>46</v>
      </c>
      <c r="D358">
        <f>Raw_Data!F358</f>
        <v>3</v>
      </c>
      <c r="E358">
        <f>Raw_Data!H358</f>
        <v>1</v>
      </c>
      <c r="F358">
        <f>Raw_Data!G358</f>
        <v>1</v>
      </c>
      <c r="G358">
        <f>Raw_Data!E358</f>
        <v>19211.98</v>
      </c>
      <c r="H358">
        <f>Raw_Data!I358</f>
        <v>112646.53</v>
      </c>
      <c r="I358">
        <f>Raw_Data!J358</f>
        <v>0</v>
      </c>
      <c r="J358">
        <f t="shared" si="11"/>
        <v>1</v>
      </c>
      <c r="K358" t="str">
        <f t="shared" si="12"/>
        <v>Low Risk</v>
      </c>
    </row>
    <row r="359" spans="1:11" x14ac:dyDescent="0.35">
      <c r="A359">
        <f>Raw_Data!A359</f>
        <v>358</v>
      </c>
      <c r="B359">
        <f>Raw_Data!B359</f>
        <v>25</v>
      </c>
      <c r="C359">
        <f>Raw_Data!D359</f>
        <v>68</v>
      </c>
      <c r="D359">
        <f>Raw_Data!F359</f>
        <v>2</v>
      </c>
      <c r="E359">
        <f>Raw_Data!H359</f>
        <v>1</v>
      </c>
      <c r="F359">
        <f>Raw_Data!G359</f>
        <v>1</v>
      </c>
      <c r="G359">
        <f>Raw_Data!E359</f>
        <v>22506.17</v>
      </c>
      <c r="H359">
        <f>Raw_Data!I359</f>
        <v>45110.8</v>
      </c>
      <c r="I359">
        <f>Raw_Data!J359</f>
        <v>0</v>
      </c>
      <c r="J359">
        <f t="shared" si="11"/>
        <v>0</v>
      </c>
      <c r="K359" t="str">
        <f t="shared" si="12"/>
        <v>Low Risk</v>
      </c>
    </row>
    <row r="360" spans="1:11" x14ac:dyDescent="0.35">
      <c r="A360">
        <f>Raw_Data!A360</f>
        <v>359</v>
      </c>
      <c r="B360">
        <f>Raw_Data!B360</f>
        <v>44</v>
      </c>
      <c r="C360">
        <f>Raw_Data!D360</f>
        <v>33</v>
      </c>
      <c r="D360">
        <f>Raw_Data!F360</f>
        <v>1</v>
      </c>
      <c r="E360">
        <f>Raw_Data!H360</f>
        <v>1</v>
      </c>
      <c r="F360">
        <f>Raw_Data!G360</f>
        <v>1</v>
      </c>
      <c r="G360">
        <f>Raw_Data!E360</f>
        <v>28963.32</v>
      </c>
      <c r="H360">
        <f>Raw_Data!I360</f>
        <v>81270.080000000002</v>
      </c>
      <c r="I360">
        <f>Raw_Data!J360</f>
        <v>0</v>
      </c>
      <c r="J360">
        <f t="shared" si="11"/>
        <v>0</v>
      </c>
      <c r="K360" t="str">
        <f t="shared" si="12"/>
        <v>Low Risk</v>
      </c>
    </row>
    <row r="361" spans="1:11" x14ac:dyDescent="0.35">
      <c r="A361">
        <f>Raw_Data!A361</f>
        <v>360</v>
      </c>
      <c r="B361">
        <f>Raw_Data!B361</f>
        <v>44</v>
      </c>
      <c r="C361">
        <f>Raw_Data!D361</f>
        <v>1</v>
      </c>
      <c r="D361">
        <f>Raw_Data!F361</f>
        <v>2</v>
      </c>
      <c r="E361">
        <f>Raw_Data!H361</f>
        <v>1</v>
      </c>
      <c r="F361">
        <f>Raw_Data!G361</f>
        <v>1</v>
      </c>
      <c r="G361">
        <f>Raw_Data!E361</f>
        <v>37967.550000000003</v>
      </c>
      <c r="H361">
        <f>Raw_Data!I361</f>
        <v>81427.009999999995</v>
      </c>
      <c r="I361">
        <f>Raw_Data!J361</f>
        <v>0</v>
      </c>
      <c r="J361">
        <f t="shared" si="11"/>
        <v>2</v>
      </c>
      <c r="K361" t="str">
        <f t="shared" si="12"/>
        <v>Low Risk</v>
      </c>
    </row>
    <row r="362" spans="1:11" x14ac:dyDescent="0.35">
      <c r="A362">
        <f>Raw_Data!A362</f>
        <v>361</v>
      </c>
      <c r="B362">
        <f>Raw_Data!B362</f>
        <v>51</v>
      </c>
      <c r="C362">
        <f>Raw_Data!D362</f>
        <v>19</v>
      </c>
      <c r="D362">
        <f>Raw_Data!F362</f>
        <v>1</v>
      </c>
      <c r="E362">
        <f>Raw_Data!H362</f>
        <v>1</v>
      </c>
      <c r="F362">
        <f>Raw_Data!G362</f>
        <v>1</v>
      </c>
      <c r="G362">
        <f>Raw_Data!E362</f>
        <v>4943.68</v>
      </c>
      <c r="H362">
        <f>Raw_Data!I362</f>
        <v>69169.19</v>
      </c>
      <c r="I362">
        <f>Raw_Data!J362</f>
        <v>0</v>
      </c>
      <c r="J362">
        <f t="shared" si="11"/>
        <v>0</v>
      </c>
      <c r="K362" t="str">
        <f t="shared" si="12"/>
        <v>Low Risk</v>
      </c>
    </row>
    <row r="363" spans="1:11" x14ac:dyDescent="0.35">
      <c r="A363">
        <f>Raw_Data!A363</f>
        <v>362</v>
      </c>
      <c r="B363">
        <f>Raw_Data!B363</f>
        <v>38</v>
      </c>
      <c r="C363">
        <f>Raw_Data!D363</f>
        <v>31</v>
      </c>
      <c r="D363">
        <f>Raw_Data!F363</f>
        <v>2</v>
      </c>
      <c r="E363">
        <f>Raw_Data!H363</f>
        <v>1</v>
      </c>
      <c r="F363">
        <f>Raw_Data!G363</f>
        <v>0</v>
      </c>
      <c r="G363">
        <f>Raw_Data!E363</f>
        <v>44482.6</v>
      </c>
      <c r="H363">
        <f>Raw_Data!I363</f>
        <v>87248.15</v>
      </c>
      <c r="I363">
        <f>Raw_Data!J363</f>
        <v>0</v>
      </c>
      <c r="J363">
        <f t="shared" si="11"/>
        <v>1</v>
      </c>
      <c r="K363" t="str">
        <f t="shared" si="12"/>
        <v>Low Risk</v>
      </c>
    </row>
    <row r="364" spans="1:11" x14ac:dyDescent="0.35">
      <c r="A364">
        <f>Raw_Data!A364</f>
        <v>363</v>
      </c>
      <c r="B364">
        <f>Raw_Data!B364</f>
        <v>47</v>
      </c>
      <c r="C364">
        <f>Raw_Data!D364</f>
        <v>14</v>
      </c>
      <c r="D364">
        <f>Raw_Data!F364</f>
        <v>3</v>
      </c>
      <c r="E364">
        <f>Raw_Data!H364</f>
        <v>0</v>
      </c>
      <c r="F364">
        <f>Raw_Data!G364</f>
        <v>0</v>
      </c>
      <c r="G364">
        <f>Raw_Data!E364</f>
        <v>615.49</v>
      </c>
      <c r="H364">
        <f>Raw_Data!I364</f>
        <v>73703.960000000006</v>
      </c>
      <c r="I364">
        <f>Raw_Data!J364</f>
        <v>0</v>
      </c>
      <c r="J364">
        <f t="shared" si="11"/>
        <v>2</v>
      </c>
      <c r="K364" t="str">
        <f t="shared" si="12"/>
        <v>Low Risk</v>
      </c>
    </row>
    <row r="365" spans="1:11" x14ac:dyDescent="0.35">
      <c r="A365">
        <f>Raw_Data!A365</f>
        <v>364</v>
      </c>
      <c r="B365">
        <f>Raw_Data!B365</f>
        <v>50</v>
      </c>
      <c r="C365">
        <f>Raw_Data!D365</f>
        <v>53</v>
      </c>
      <c r="D365">
        <f>Raw_Data!F365</f>
        <v>1</v>
      </c>
      <c r="E365">
        <f>Raw_Data!H365</f>
        <v>1</v>
      </c>
      <c r="F365">
        <f>Raw_Data!G365</f>
        <v>0</v>
      </c>
      <c r="G365">
        <f>Raw_Data!E365</f>
        <v>18502.62</v>
      </c>
      <c r="H365">
        <f>Raw_Data!I365</f>
        <v>45914.91</v>
      </c>
      <c r="I365">
        <f>Raw_Data!J365</f>
        <v>0</v>
      </c>
      <c r="J365">
        <f t="shared" si="11"/>
        <v>0</v>
      </c>
      <c r="K365" t="str">
        <f t="shared" si="12"/>
        <v>Low Risk</v>
      </c>
    </row>
    <row r="366" spans="1:11" x14ac:dyDescent="0.35">
      <c r="A366">
        <f>Raw_Data!A366</f>
        <v>365</v>
      </c>
      <c r="B366">
        <f>Raw_Data!B366</f>
        <v>45</v>
      </c>
      <c r="C366">
        <f>Raw_Data!D366</f>
        <v>48</v>
      </c>
      <c r="D366">
        <f>Raw_Data!F366</f>
        <v>4</v>
      </c>
      <c r="E366">
        <f>Raw_Data!H366</f>
        <v>0</v>
      </c>
      <c r="F366">
        <f>Raw_Data!G366</f>
        <v>1</v>
      </c>
      <c r="G366">
        <f>Raw_Data!E366</f>
        <v>1371.02</v>
      </c>
      <c r="H366">
        <f>Raw_Data!I366</f>
        <v>73607.64</v>
      </c>
      <c r="I366">
        <f>Raw_Data!J366</f>
        <v>0</v>
      </c>
      <c r="J366">
        <f t="shared" si="11"/>
        <v>4</v>
      </c>
      <c r="K366" t="str">
        <f t="shared" si="12"/>
        <v>Medium Risk</v>
      </c>
    </row>
    <row r="367" spans="1:11" x14ac:dyDescent="0.35">
      <c r="A367">
        <f>Raw_Data!A367</f>
        <v>366</v>
      </c>
      <c r="B367">
        <f>Raw_Data!B367</f>
        <v>64</v>
      </c>
      <c r="C367">
        <f>Raw_Data!D367</f>
        <v>69</v>
      </c>
      <c r="D367">
        <f>Raw_Data!F367</f>
        <v>3</v>
      </c>
      <c r="E367">
        <f>Raw_Data!H367</f>
        <v>0</v>
      </c>
      <c r="F367">
        <f>Raw_Data!G367</f>
        <v>1</v>
      </c>
      <c r="G367">
        <f>Raw_Data!E367</f>
        <v>19648.71</v>
      </c>
      <c r="H367">
        <f>Raw_Data!I367</f>
        <v>29396</v>
      </c>
      <c r="I367">
        <f>Raw_Data!J367</f>
        <v>0</v>
      </c>
      <c r="J367">
        <f t="shared" si="11"/>
        <v>3</v>
      </c>
      <c r="K367" t="str">
        <f t="shared" si="12"/>
        <v>Medium Risk</v>
      </c>
    </row>
    <row r="368" spans="1:11" x14ac:dyDescent="0.35">
      <c r="A368">
        <f>Raw_Data!A368</f>
        <v>367</v>
      </c>
      <c r="B368">
        <f>Raw_Data!B368</f>
        <v>50</v>
      </c>
      <c r="C368">
        <f>Raw_Data!D368</f>
        <v>62</v>
      </c>
      <c r="D368">
        <f>Raw_Data!F368</f>
        <v>4</v>
      </c>
      <c r="E368">
        <f>Raw_Data!H368</f>
        <v>0</v>
      </c>
      <c r="F368">
        <f>Raw_Data!G368</f>
        <v>1</v>
      </c>
      <c r="G368">
        <f>Raw_Data!E368</f>
        <v>26290.63</v>
      </c>
      <c r="H368">
        <f>Raw_Data!I368</f>
        <v>94852.160000000003</v>
      </c>
      <c r="I368">
        <f>Raw_Data!J368</f>
        <v>0</v>
      </c>
      <c r="J368">
        <f t="shared" si="11"/>
        <v>4</v>
      </c>
      <c r="K368" t="str">
        <f t="shared" si="12"/>
        <v>Medium Risk</v>
      </c>
    </row>
    <row r="369" spans="1:11" x14ac:dyDescent="0.35">
      <c r="A369">
        <f>Raw_Data!A369</f>
        <v>368</v>
      </c>
      <c r="B369">
        <f>Raw_Data!B369</f>
        <v>22</v>
      </c>
      <c r="C369">
        <f>Raw_Data!D369</f>
        <v>66</v>
      </c>
      <c r="D369">
        <f>Raw_Data!F369</f>
        <v>3</v>
      </c>
      <c r="E369">
        <f>Raw_Data!H369</f>
        <v>1</v>
      </c>
      <c r="F369">
        <f>Raw_Data!G369</f>
        <v>1</v>
      </c>
      <c r="G369">
        <f>Raw_Data!E369</f>
        <v>25584.07</v>
      </c>
      <c r="H369">
        <f>Raw_Data!I369</f>
        <v>130975.09</v>
      </c>
      <c r="I369">
        <f>Raw_Data!J369</f>
        <v>0</v>
      </c>
      <c r="J369">
        <f t="shared" si="11"/>
        <v>0</v>
      </c>
      <c r="K369" t="str">
        <f t="shared" si="12"/>
        <v>Low Risk</v>
      </c>
    </row>
    <row r="370" spans="1:11" x14ac:dyDescent="0.35">
      <c r="A370">
        <f>Raw_Data!A370</f>
        <v>369</v>
      </c>
      <c r="B370">
        <f>Raw_Data!B370</f>
        <v>65</v>
      </c>
      <c r="C370">
        <f>Raw_Data!D370</f>
        <v>64</v>
      </c>
      <c r="D370">
        <f>Raw_Data!F370</f>
        <v>2</v>
      </c>
      <c r="E370">
        <f>Raw_Data!H370</f>
        <v>0</v>
      </c>
      <c r="F370">
        <f>Raw_Data!G370</f>
        <v>0</v>
      </c>
      <c r="G370">
        <f>Raw_Data!E370</f>
        <v>8281.42</v>
      </c>
      <c r="H370">
        <f>Raw_Data!I370</f>
        <v>114287.32</v>
      </c>
      <c r="I370">
        <f>Raw_Data!J370</f>
        <v>0</v>
      </c>
      <c r="J370">
        <f t="shared" si="11"/>
        <v>3</v>
      </c>
      <c r="K370" t="str">
        <f t="shared" si="12"/>
        <v>Medium Risk</v>
      </c>
    </row>
    <row r="371" spans="1:11" x14ac:dyDescent="0.35">
      <c r="A371">
        <f>Raw_Data!A371</f>
        <v>370</v>
      </c>
      <c r="B371">
        <f>Raw_Data!B371</f>
        <v>36</v>
      </c>
      <c r="C371">
        <f>Raw_Data!D371</f>
        <v>70</v>
      </c>
      <c r="D371">
        <f>Raw_Data!F371</f>
        <v>1</v>
      </c>
      <c r="E371">
        <f>Raw_Data!H371</f>
        <v>1</v>
      </c>
      <c r="F371">
        <f>Raw_Data!G371</f>
        <v>0</v>
      </c>
      <c r="G371">
        <f>Raw_Data!E371</f>
        <v>32287.03</v>
      </c>
      <c r="H371">
        <f>Raw_Data!I371</f>
        <v>66851.23</v>
      </c>
      <c r="I371">
        <f>Raw_Data!J371</f>
        <v>0</v>
      </c>
      <c r="J371">
        <f t="shared" si="11"/>
        <v>0</v>
      </c>
      <c r="K371" t="str">
        <f t="shared" si="12"/>
        <v>Low Risk</v>
      </c>
    </row>
    <row r="372" spans="1:11" x14ac:dyDescent="0.35">
      <c r="A372">
        <f>Raw_Data!A372</f>
        <v>371</v>
      </c>
      <c r="B372">
        <f>Raw_Data!B372</f>
        <v>21</v>
      </c>
      <c r="C372">
        <f>Raw_Data!D372</f>
        <v>63</v>
      </c>
      <c r="D372">
        <f>Raw_Data!F372</f>
        <v>3</v>
      </c>
      <c r="E372">
        <f>Raw_Data!H372</f>
        <v>1</v>
      </c>
      <c r="F372">
        <f>Raw_Data!G372</f>
        <v>1</v>
      </c>
      <c r="G372">
        <f>Raw_Data!E372</f>
        <v>2238.92</v>
      </c>
      <c r="H372">
        <f>Raw_Data!I372</f>
        <v>31319.26</v>
      </c>
      <c r="I372">
        <f>Raw_Data!J372</f>
        <v>0</v>
      </c>
      <c r="J372">
        <f t="shared" si="11"/>
        <v>0</v>
      </c>
      <c r="K372" t="str">
        <f t="shared" si="12"/>
        <v>Low Risk</v>
      </c>
    </row>
    <row r="373" spans="1:11" x14ac:dyDescent="0.35">
      <c r="A373">
        <f>Raw_Data!A373</f>
        <v>372</v>
      </c>
      <c r="B373">
        <f>Raw_Data!B373</f>
        <v>52</v>
      </c>
      <c r="C373">
        <f>Raw_Data!D373</f>
        <v>33</v>
      </c>
      <c r="D373">
        <f>Raw_Data!F373</f>
        <v>2</v>
      </c>
      <c r="E373">
        <f>Raw_Data!H373</f>
        <v>0</v>
      </c>
      <c r="F373">
        <f>Raw_Data!G373</f>
        <v>1</v>
      </c>
      <c r="G373">
        <f>Raw_Data!E373</f>
        <v>38095.339999999997</v>
      </c>
      <c r="H373">
        <f>Raw_Data!I373</f>
        <v>46279.42</v>
      </c>
      <c r="I373">
        <f>Raw_Data!J373</f>
        <v>0</v>
      </c>
      <c r="J373">
        <f t="shared" si="11"/>
        <v>2</v>
      </c>
      <c r="K373" t="str">
        <f t="shared" si="12"/>
        <v>Low Risk</v>
      </c>
    </row>
    <row r="374" spans="1:11" x14ac:dyDescent="0.35">
      <c r="A374">
        <f>Raw_Data!A374</f>
        <v>373</v>
      </c>
      <c r="B374">
        <f>Raw_Data!B374</f>
        <v>66</v>
      </c>
      <c r="C374">
        <f>Raw_Data!D374</f>
        <v>41</v>
      </c>
      <c r="D374">
        <f>Raw_Data!F374</f>
        <v>1</v>
      </c>
      <c r="E374">
        <f>Raw_Data!H374</f>
        <v>1</v>
      </c>
      <c r="F374">
        <f>Raw_Data!G374</f>
        <v>0</v>
      </c>
      <c r="G374">
        <f>Raw_Data!E374</f>
        <v>47332.22</v>
      </c>
      <c r="H374">
        <f>Raw_Data!I374</f>
        <v>90913.74</v>
      </c>
      <c r="I374">
        <f>Raw_Data!J374</f>
        <v>0</v>
      </c>
      <c r="J374">
        <f t="shared" si="11"/>
        <v>2</v>
      </c>
      <c r="K374" t="str">
        <f t="shared" si="12"/>
        <v>Low Risk</v>
      </c>
    </row>
    <row r="375" spans="1:11" x14ac:dyDescent="0.35">
      <c r="A375">
        <f>Raw_Data!A375</f>
        <v>374</v>
      </c>
      <c r="B375">
        <f>Raw_Data!B375</f>
        <v>34</v>
      </c>
      <c r="C375">
        <f>Raw_Data!D375</f>
        <v>48</v>
      </c>
      <c r="D375">
        <f>Raw_Data!F375</f>
        <v>1</v>
      </c>
      <c r="E375">
        <f>Raw_Data!H375</f>
        <v>0</v>
      </c>
      <c r="F375">
        <f>Raw_Data!G375</f>
        <v>1</v>
      </c>
      <c r="G375">
        <f>Raw_Data!E375</f>
        <v>16988.439999999999</v>
      </c>
      <c r="H375">
        <f>Raw_Data!I375</f>
        <v>46917.42</v>
      </c>
      <c r="I375">
        <f>Raw_Data!J375</f>
        <v>0</v>
      </c>
      <c r="J375">
        <f t="shared" si="11"/>
        <v>2</v>
      </c>
      <c r="K375" t="str">
        <f t="shared" si="12"/>
        <v>Low Risk</v>
      </c>
    </row>
    <row r="376" spans="1:11" x14ac:dyDescent="0.35">
      <c r="A376">
        <f>Raw_Data!A376</f>
        <v>375</v>
      </c>
      <c r="B376">
        <f>Raw_Data!B376</f>
        <v>61</v>
      </c>
      <c r="C376">
        <f>Raw_Data!D376</f>
        <v>13</v>
      </c>
      <c r="D376">
        <f>Raw_Data!F376</f>
        <v>3</v>
      </c>
      <c r="E376">
        <f>Raw_Data!H376</f>
        <v>0</v>
      </c>
      <c r="F376">
        <f>Raw_Data!G376</f>
        <v>1</v>
      </c>
      <c r="G376">
        <f>Raw_Data!E376</f>
        <v>25861.97</v>
      </c>
      <c r="H376">
        <f>Raw_Data!I376</f>
        <v>90716.5</v>
      </c>
      <c r="I376">
        <f>Raw_Data!J376</f>
        <v>0</v>
      </c>
      <c r="J376">
        <f t="shared" si="11"/>
        <v>3</v>
      </c>
      <c r="K376" t="str">
        <f t="shared" si="12"/>
        <v>Medium Risk</v>
      </c>
    </row>
    <row r="377" spans="1:11" x14ac:dyDescent="0.35">
      <c r="A377">
        <f>Raw_Data!A377</f>
        <v>376</v>
      </c>
      <c r="B377">
        <f>Raw_Data!B377</f>
        <v>45</v>
      </c>
      <c r="C377">
        <f>Raw_Data!D377</f>
        <v>31</v>
      </c>
      <c r="D377">
        <f>Raw_Data!F377</f>
        <v>1</v>
      </c>
      <c r="E377">
        <f>Raw_Data!H377</f>
        <v>1</v>
      </c>
      <c r="F377">
        <f>Raw_Data!G377</f>
        <v>1</v>
      </c>
      <c r="G377">
        <f>Raw_Data!E377</f>
        <v>18945.509999999998</v>
      </c>
      <c r="H377">
        <f>Raw_Data!I377</f>
        <v>50107.87</v>
      </c>
      <c r="I377">
        <f>Raw_Data!J377</f>
        <v>0</v>
      </c>
      <c r="J377">
        <f t="shared" si="11"/>
        <v>0</v>
      </c>
      <c r="K377" t="str">
        <f t="shared" si="12"/>
        <v>Low Risk</v>
      </c>
    </row>
    <row r="378" spans="1:11" x14ac:dyDescent="0.35">
      <c r="A378">
        <f>Raw_Data!A378</f>
        <v>377</v>
      </c>
      <c r="B378">
        <f>Raw_Data!B378</f>
        <v>47</v>
      </c>
      <c r="C378">
        <f>Raw_Data!D378</f>
        <v>68</v>
      </c>
      <c r="D378">
        <f>Raw_Data!F378</f>
        <v>3</v>
      </c>
      <c r="E378">
        <f>Raw_Data!H378</f>
        <v>0</v>
      </c>
      <c r="F378">
        <f>Raw_Data!G378</f>
        <v>0</v>
      </c>
      <c r="G378">
        <f>Raw_Data!E378</f>
        <v>335.52</v>
      </c>
      <c r="H378">
        <f>Raw_Data!I378</f>
        <v>130360.1</v>
      </c>
      <c r="I378">
        <f>Raw_Data!J378</f>
        <v>0</v>
      </c>
      <c r="J378">
        <f t="shared" si="11"/>
        <v>2</v>
      </c>
      <c r="K378" t="str">
        <f t="shared" si="12"/>
        <v>Low Risk</v>
      </c>
    </row>
    <row r="379" spans="1:11" x14ac:dyDescent="0.35">
      <c r="A379">
        <f>Raw_Data!A379</f>
        <v>378</v>
      </c>
      <c r="B379">
        <f>Raw_Data!B379</f>
        <v>46</v>
      </c>
      <c r="C379">
        <f>Raw_Data!D379</f>
        <v>4</v>
      </c>
      <c r="D379">
        <f>Raw_Data!F379</f>
        <v>1</v>
      </c>
      <c r="E379">
        <f>Raw_Data!H379</f>
        <v>0</v>
      </c>
      <c r="F379">
        <f>Raw_Data!G379</f>
        <v>0</v>
      </c>
      <c r="G379">
        <f>Raw_Data!E379</f>
        <v>19293.73</v>
      </c>
      <c r="H379">
        <f>Raw_Data!I379</f>
        <v>71645.289999999994</v>
      </c>
      <c r="I379">
        <f>Raw_Data!J379</f>
        <v>0</v>
      </c>
      <c r="J379">
        <f t="shared" si="11"/>
        <v>4</v>
      </c>
      <c r="K379" t="str">
        <f t="shared" si="12"/>
        <v>Medium Risk</v>
      </c>
    </row>
    <row r="380" spans="1:11" x14ac:dyDescent="0.35">
      <c r="A380">
        <f>Raw_Data!A380</f>
        <v>379</v>
      </c>
      <c r="B380">
        <f>Raw_Data!B380</f>
        <v>63</v>
      </c>
      <c r="C380">
        <f>Raw_Data!D380</f>
        <v>19</v>
      </c>
      <c r="D380">
        <f>Raw_Data!F380</f>
        <v>4</v>
      </c>
      <c r="E380">
        <f>Raw_Data!H380</f>
        <v>0</v>
      </c>
      <c r="F380">
        <f>Raw_Data!G380</f>
        <v>1</v>
      </c>
      <c r="G380">
        <f>Raw_Data!E380</f>
        <v>39586.01</v>
      </c>
      <c r="H380">
        <f>Raw_Data!I380</f>
        <v>51921.58</v>
      </c>
      <c r="I380">
        <f>Raw_Data!J380</f>
        <v>0</v>
      </c>
      <c r="J380">
        <f t="shared" si="11"/>
        <v>5</v>
      </c>
      <c r="K380" t="str">
        <f t="shared" si="12"/>
        <v>High Risk</v>
      </c>
    </row>
    <row r="381" spans="1:11" x14ac:dyDescent="0.35">
      <c r="A381">
        <f>Raw_Data!A381</f>
        <v>380</v>
      </c>
      <c r="B381">
        <f>Raw_Data!B381</f>
        <v>23</v>
      </c>
      <c r="C381">
        <f>Raw_Data!D381</f>
        <v>70</v>
      </c>
      <c r="D381">
        <f>Raw_Data!F381</f>
        <v>2</v>
      </c>
      <c r="E381">
        <f>Raw_Data!H381</f>
        <v>1</v>
      </c>
      <c r="F381">
        <f>Raw_Data!G381</f>
        <v>0</v>
      </c>
      <c r="G381">
        <f>Raw_Data!E381</f>
        <v>29799.439999999999</v>
      </c>
      <c r="H381">
        <f>Raw_Data!I381</f>
        <v>125602.4</v>
      </c>
      <c r="I381">
        <f>Raw_Data!J381</f>
        <v>0</v>
      </c>
      <c r="J381">
        <f t="shared" si="11"/>
        <v>0</v>
      </c>
      <c r="K381" t="str">
        <f t="shared" si="12"/>
        <v>Low Risk</v>
      </c>
    </row>
    <row r="382" spans="1:11" x14ac:dyDescent="0.35">
      <c r="A382">
        <f>Raw_Data!A382</f>
        <v>381</v>
      </c>
      <c r="B382">
        <f>Raw_Data!B382</f>
        <v>52</v>
      </c>
      <c r="C382">
        <f>Raw_Data!D382</f>
        <v>13</v>
      </c>
      <c r="D382">
        <f>Raw_Data!F382</f>
        <v>4</v>
      </c>
      <c r="E382">
        <f>Raw_Data!H382</f>
        <v>0</v>
      </c>
      <c r="F382">
        <f>Raw_Data!G382</f>
        <v>1</v>
      </c>
      <c r="G382">
        <f>Raw_Data!E382</f>
        <v>5063</v>
      </c>
      <c r="H382">
        <f>Raw_Data!I382</f>
        <v>64569.07</v>
      </c>
      <c r="I382">
        <f>Raw_Data!J382</f>
        <v>0</v>
      </c>
      <c r="J382">
        <f t="shared" si="11"/>
        <v>4</v>
      </c>
      <c r="K382" t="str">
        <f t="shared" si="12"/>
        <v>Medium Risk</v>
      </c>
    </row>
    <row r="383" spans="1:11" x14ac:dyDescent="0.35">
      <c r="A383">
        <f>Raw_Data!A383</f>
        <v>382</v>
      </c>
      <c r="B383">
        <f>Raw_Data!B383</f>
        <v>58</v>
      </c>
      <c r="C383">
        <f>Raw_Data!D383</f>
        <v>23</v>
      </c>
      <c r="D383">
        <f>Raw_Data!F383</f>
        <v>3</v>
      </c>
      <c r="E383">
        <f>Raw_Data!H383</f>
        <v>1</v>
      </c>
      <c r="F383">
        <f>Raw_Data!G383</f>
        <v>1</v>
      </c>
      <c r="G383">
        <f>Raw_Data!E383</f>
        <v>42356.97</v>
      </c>
      <c r="H383">
        <f>Raw_Data!I383</f>
        <v>34493.4</v>
      </c>
      <c r="I383">
        <f>Raw_Data!J383</f>
        <v>0</v>
      </c>
      <c r="J383">
        <f t="shared" si="11"/>
        <v>2</v>
      </c>
      <c r="K383" t="str">
        <f t="shared" si="12"/>
        <v>Low Risk</v>
      </c>
    </row>
    <row r="384" spans="1:11" x14ac:dyDescent="0.35">
      <c r="A384">
        <f>Raw_Data!A384</f>
        <v>383</v>
      </c>
      <c r="B384">
        <f>Raw_Data!B384</f>
        <v>54</v>
      </c>
      <c r="C384">
        <f>Raw_Data!D384</f>
        <v>1</v>
      </c>
      <c r="D384">
        <f>Raw_Data!F384</f>
        <v>4</v>
      </c>
      <c r="E384">
        <f>Raw_Data!H384</f>
        <v>1</v>
      </c>
      <c r="F384">
        <f>Raw_Data!G384</f>
        <v>0</v>
      </c>
      <c r="G384">
        <f>Raw_Data!E384</f>
        <v>26554.27</v>
      </c>
      <c r="H384">
        <f>Raw_Data!I384</f>
        <v>94153.23</v>
      </c>
      <c r="I384">
        <f>Raw_Data!J384</f>
        <v>0</v>
      </c>
      <c r="J384">
        <f t="shared" si="11"/>
        <v>4</v>
      </c>
      <c r="K384" t="str">
        <f t="shared" si="12"/>
        <v>Medium Risk</v>
      </c>
    </row>
    <row r="385" spans="1:11" x14ac:dyDescent="0.35">
      <c r="A385">
        <f>Raw_Data!A385</f>
        <v>384</v>
      </c>
      <c r="B385">
        <f>Raw_Data!B385</f>
        <v>41</v>
      </c>
      <c r="C385">
        <f>Raw_Data!D385</f>
        <v>54</v>
      </c>
      <c r="D385">
        <f>Raw_Data!F385</f>
        <v>3</v>
      </c>
      <c r="E385">
        <f>Raw_Data!H385</f>
        <v>0</v>
      </c>
      <c r="F385">
        <f>Raw_Data!G385</f>
        <v>1</v>
      </c>
      <c r="G385">
        <f>Raw_Data!E385</f>
        <v>42086.17</v>
      </c>
      <c r="H385">
        <f>Raw_Data!I385</f>
        <v>95603.35</v>
      </c>
      <c r="I385">
        <f>Raw_Data!J385</f>
        <v>0</v>
      </c>
      <c r="J385">
        <f t="shared" si="11"/>
        <v>3</v>
      </c>
      <c r="K385" t="str">
        <f t="shared" si="12"/>
        <v>Medium Risk</v>
      </c>
    </row>
    <row r="386" spans="1:11" x14ac:dyDescent="0.35">
      <c r="A386">
        <f>Raw_Data!A386</f>
        <v>385</v>
      </c>
      <c r="B386">
        <f>Raw_Data!B386</f>
        <v>46</v>
      </c>
      <c r="C386">
        <f>Raw_Data!D386</f>
        <v>71</v>
      </c>
      <c r="D386">
        <f>Raw_Data!F386</f>
        <v>1</v>
      </c>
      <c r="E386">
        <f>Raw_Data!H386</f>
        <v>0</v>
      </c>
      <c r="F386">
        <f>Raw_Data!G386</f>
        <v>1</v>
      </c>
      <c r="G386">
        <f>Raw_Data!E386</f>
        <v>29011.08</v>
      </c>
      <c r="H386">
        <f>Raw_Data!I386</f>
        <v>112910.44</v>
      </c>
      <c r="I386">
        <f>Raw_Data!J386</f>
        <v>0</v>
      </c>
      <c r="J386">
        <f t="shared" si="11"/>
        <v>2</v>
      </c>
      <c r="K386" t="str">
        <f t="shared" si="12"/>
        <v>Low Risk</v>
      </c>
    </row>
    <row r="387" spans="1:11" x14ac:dyDescent="0.35">
      <c r="A387">
        <f>Raw_Data!A387</f>
        <v>386</v>
      </c>
      <c r="B387">
        <f>Raw_Data!B387</f>
        <v>66</v>
      </c>
      <c r="C387">
        <f>Raw_Data!D387</f>
        <v>15</v>
      </c>
      <c r="D387">
        <f>Raw_Data!F387</f>
        <v>1</v>
      </c>
      <c r="E387">
        <f>Raw_Data!H387</f>
        <v>1</v>
      </c>
      <c r="F387">
        <f>Raw_Data!G387</f>
        <v>0</v>
      </c>
      <c r="G387">
        <f>Raw_Data!E387</f>
        <v>27984.42</v>
      </c>
      <c r="H387">
        <f>Raw_Data!I387</f>
        <v>51228.53</v>
      </c>
      <c r="I387">
        <f>Raw_Data!J387</f>
        <v>0</v>
      </c>
      <c r="J387">
        <f t="shared" ref="J387:J450" si="13">IF(E387=0,2,0)+IF(D387=4,2,0)+IF(C387&lt;=12,2,0)+IF(B387&gt;=56,1,0)+IF(G387&gt;=40000,1,0)</f>
        <v>1</v>
      </c>
      <c r="K387" t="str">
        <f t="shared" ref="K387:K450" si="14">IF(J387&gt;=5,"High Risk",IF(J387&gt;=3,"Medium Risk","Low Risk"))</f>
        <v>Low Risk</v>
      </c>
    </row>
    <row r="388" spans="1:11" x14ac:dyDescent="0.35">
      <c r="A388">
        <f>Raw_Data!A388</f>
        <v>387</v>
      </c>
      <c r="B388">
        <f>Raw_Data!B388</f>
        <v>63</v>
      </c>
      <c r="C388">
        <f>Raw_Data!D388</f>
        <v>65</v>
      </c>
      <c r="D388">
        <f>Raw_Data!F388</f>
        <v>3</v>
      </c>
      <c r="E388">
        <f>Raw_Data!H388</f>
        <v>1</v>
      </c>
      <c r="F388">
        <f>Raw_Data!G388</f>
        <v>1</v>
      </c>
      <c r="G388">
        <f>Raw_Data!E388</f>
        <v>5262.96</v>
      </c>
      <c r="H388">
        <f>Raw_Data!I388</f>
        <v>77690.27</v>
      </c>
      <c r="I388">
        <f>Raw_Data!J388</f>
        <v>0</v>
      </c>
      <c r="J388">
        <f t="shared" si="13"/>
        <v>1</v>
      </c>
      <c r="K388" t="str">
        <f t="shared" si="14"/>
        <v>Low Risk</v>
      </c>
    </row>
    <row r="389" spans="1:11" x14ac:dyDescent="0.35">
      <c r="A389">
        <f>Raw_Data!A389</f>
        <v>388</v>
      </c>
      <c r="B389">
        <f>Raw_Data!B389</f>
        <v>48</v>
      </c>
      <c r="C389">
        <f>Raw_Data!D389</f>
        <v>71</v>
      </c>
      <c r="D389">
        <f>Raw_Data!F389</f>
        <v>4</v>
      </c>
      <c r="E389">
        <f>Raw_Data!H389</f>
        <v>0</v>
      </c>
      <c r="F389">
        <f>Raw_Data!G389</f>
        <v>1</v>
      </c>
      <c r="G389">
        <f>Raw_Data!E389</f>
        <v>8367.99</v>
      </c>
      <c r="H389">
        <f>Raw_Data!I389</f>
        <v>56707.83</v>
      </c>
      <c r="I389">
        <f>Raw_Data!J389</f>
        <v>0</v>
      </c>
      <c r="J389">
        <f t="shared" si="13"/>
        <v>4</v>
      </c>
      <c r="K389" t="str">
        <f t="shared" si="14"/>
        <v>Medium Risk</v>
      </c>
    </row>
    <row r="390" spans="1:11" x14ac:dyDescent="0.35">
      <c r="A390">
        <f>Raw_Data!A390</f>
        <v>389</v>
      </c>
      <c r="B390">
        <f>Raw_Data!B390</f>
        <v>52</v>
      </c>
      <c r="C390">
        <f>Raw_Data!D390</f>
        <v>15</v>
      </c>
      <c r="D390">
        <f>Raw_Data!F390</f>
        <v>1</v>
      </c>
      <c r="E390">
        <f>Raw_Data!H390</f>
        <v>0</v>
      </c>
      <c r="F390">
        <f>Raw_Data!G390</f>
        <v>1</v>
      </c>
      <c r="G390">
        <f>Raw_Data!E390</f>
        <v>48601.26</v>
      </c>
      <c r="H390">
        <f>Raw_Data!I390</f>
        <v>30523.99</v>
      </c>
      <c r="I390">
        <f>Raw_Data!J390</f>
        <v>0</v>
      </c>
      <c r="J390">
        <f t="shared" si="13"/>
        <v>3</v>
      </c>
      <c r="K390" t="str">
        <f t="shared" si="14"/>
        <v>Medium Risk</v>
      </c>
    </row>
    <row r="391" spans="1:11" x14ac:dyDescent="0.35">
      <c r="A391">
        <f>Raw_Data!A391</f>
        <v>390</v>
      </c>
      <c r="B391">
        <f>Raw_Data!B391</f>
        <v>50</v>
      </c>
      <c r="C391">
        <f>Raw_Data!D391</f>
        <v>21</v>
      </c>
      <c r="D391">
        <f>Raw_Data!F391</f>
        <v>2</v>
      </c>
      <c r="E391">
        <f>Raw_Data!H391</f>
        <v>1</v>
      </c>
      <c r="F391">
        <f>Raw_Data!G391</f>
        <v>0</v>
      </c>
      <c r="G391">
        <f>Raw_Data!E391</f>
        <v>11424.34</v>
      </c>
      <c r="H391">
        <f>Raw_Data!I391</f>
        <v>133959.79999999999</v>
      </c>
      <c r="I391">
        <f>Raw_Data!J391</f>
        <v>0</v>
      </c>
      <c r="J391">
        <f t="shared" si="13"/>
        <v>0</v>
      </c>
      <c r="K391" t="str">
        <f t="shared" si="14"/>
        <v>Low Risk</v>
      </c>
    </row>
    <row r="392" spans="1:11" x14ac:dyDescent="0.35">
      <c r="A392">
        <f>Raw_Data!A392</f>
        <v>391</v>
      </c>
      <c r="B392">
        <f>Raw_Data!B392</f>
        <v>69</v>
      </c>
      <c r="C392">
        <f>Raw_Data!D392</f>
        <v>19</v>
      </c>
      <c r="D392">
        <f>Raw_Data!F392</f>
        <v>1</v>
      </c>
      <c r="E392">
        <f>Raw_Data!H392</f>
        <v>1</v>
      </c>
      <c r="F392">
        <f>Raw_Data!G392</f>
        <v>1</v>
      </c>
      <c r="G392">
        <f>Raw_Data!E392</f>
        <v>48872.61</v>
      </c>
      <c r="H392">
        <f>Raw_Data!I392</f>
        <v>114753.07</v>
      </c>
      <c r="I392">
        <f>Raw_Data!J392</f>
        <v>0</v>
      </c>
      <c r="J392">
        <f t="shared" si="13"/>
        <v>2</v>
      </c>
      <c r="K392" t="str">
        <f t="shared" si="14"/>
        <v>Low Risk</v>
      </c>
    </row>
    <row r="393" spans="1:11" x14ac:dyDescent="0.35">
      <c r="A393">
        <f>Raw_Data!A393</f>
        <v>392</v>
      </c>
      <c r="B393">
        <f>Raw_Data!B393</f>
        <v>38</v>
      </c>
      <c r="C393">
        <f>Raw_Data!D393</f>
        <v>60</v>
      </c>
      <c r="D393">
        <f>Raw_Data!F393</f>
        <v>2</v>
      </c>
      <c r="E393">
        <f>Raw_Data!H393</f>
        <v>1</v>
      </c>
      <c r="F393">
        <f>Raw_Data!G393</f>
        <v>0</v>
      </c>
      <c r="G393">
        <f>Raw_Data!E393</f>
        <v>26595.64</v>
      </c>
      <c r="H393">
        <f>Raw_Data!I393</f>
        <v>59190.2</v>
      </c>
      <c r="I393">
        <f>Raw_Data!J393</f>
        <v>0</v>
      </c>
      <c r="J393">
        <f t="shared" si="13"/>
        <v>0</v>
      </c>
      <c r="K393" t="str">
        <f t="shared" si="14"/>
        <v>Low Risk</v>
      </c>
    </row>
    <row r="394" spans="1:11" x14ac:dyDescent="0.35">
      <c r="A394">
        <f>Raw_Data!A394</f>
        <v>393</v>
      </c>
      <c r="B394">
        <f>Raw_Data!B394</f>
        <v>49</v>
      </c>
      <c r="C394">
        <f>Raw_Data!D394</f>
        <v>33</v>
      </c>
      <c r="D394">
        <f>Raw_Data!F394</f>
        <v>4</v>
      </c>
      <c r="E394">
        <f>Raw_Data!H394</f>
        <v>1</v>
      </c>
      <c r="F394">
        <f>Raw_Data!G394</f>
        <v>1</v>
      </c>
      <c r="G394">
        <f>Raw_Data!E394</f>
        <v>6789.45</v>
      </c>
      <c r="H394">
        <f>Raw_Data!I394</f>
        <v>97918.49</v>
      </c>
      <c r="I394">
        <f>Raw_Data!J394</f>
        <v>0</v>
      </c>
      <c r="J394">
        <f t="shared" si="13"/>
        <v>2</v>
      </c>
      <c r="K394" t="str">
        <f t="shared" si="14"/>
        <v>Low Risk</v>
      </c>
    </row>
    <row r="395" spans="1:11" x14ac:dyDescent="0.35">
      <c r="A395">
        <f>Raw_Data!A395</f>
        <v>394</v>
      </c>
      <c r="B395">
        <f>Raw_Data!B395</f>
        <v>40</v>
      </c>
      <c r="C395">
        <f>Raw_Data!D395</f>
        <v>49</v>
      </c>
      <c r="D395">
        <f>Raw_Data!F395</f>
        <v>2</v>
      </c>
      <c r="E395">
        <f>Raw_Data!H395</f>
        <v>1</v>
      </c>
      <c r="F395">
        <f>Raw_Data!G395</f>
        <v>1</v>
      </c>
      <c r="G395">
        <f>Raw_Data!E395</f>
        <v>4965.1099999999997</v>
      </c>
      <c r="H395">
        <f>Raw_Data!I395</f>
        <v>46164.29</v>
      </c>
      <c r="I395">
        <f>Raw_Data!J395</f>
        <v>0</v>
      </c>
      <c r="J395">
        <f t="shared" si="13"/>
        <v>0</v>
      </c>
      <c r="K395" t="str">
        <f t="shared" si="14"/>
        <v>Low Risk</v>
      </c>
    </row>
    <row r="396" spans="1:11" x14ac:dyDescent="0.35">
      <c r="A396">
        <f>Raw_Data!A396</f>
        <v>395</v>
      </c>
      <c r="B396">
        <f>Raw_Data!B396</f>
        <v>50</v>
      </c>
      <c r="C396">
        <f>Raw_Data!D396</f>
        <v>35</v>
      </c>
      <c r="D396">
        <f>Raw_Data!F396</f>
        <v>2</v>
      </c>
      <c r="E396">
        <f>Raw_Data!H396</f>
        <v>0</v>
      </c>
      <c r="F396">
        <f>Raw_Data!G396</f>
        <v>1</v>
      </c>
      <c r="G396">
        <f>Raw_Data!E396</f>
        <v>10443.200000000001</v>
      </c>
      <c r="H396">
        <f>Raw_Data!I396</f>
        <v>135730.76</v>
      </c>
      <c r="I396">
        <f>Raw_Data!J396</f>
        <v>0</v>
      </c>
      <c r="J396">
        <f t="shared" si="13"/>
        <v>2</v>
      </c>
      <c r="K396" t="str">
        <f t="shared" si="14"/>
        <v>Low Risk</v>
      </c>
    </row>
    <row r="397" spans="1:11" x14ac:dyDescent="0.35">
      <c r="A397">
        <f>Raw_Data!A397</f>
        <v>396</v>
      </c>
      <c r="B397">
        <f>Raw_Data!B397</f>
        <v>20</v>
      </c>
      <c r="C397">
        <f>Raw_Data!D397</f>
        <v>44</v>
      </c>
      <c r="D397">
        <f>Raw_Data!F397</f>
        <v>2</v>
      </c>
      <c r="E397">
        <f>Raw_Data!H397</f>
        <v>1</v>
      </c>
      <c r="F397">
        <f>Raw_Data!G397</f>
        <v>1</v>
      </c>
      <c r="G397">
        <f>Raw_Data!E397</f>
        <v>46281.87</v>
      </c>
      <c r="H397">
        <f>Raw_Data!I397</f>
        <v>34937.82</v>
      </c>
      <c r="I397">
        <f>Raw_Data!J397</f>
        <v>0</v>
      </c>
      <c r="J397">
        <f t="shared" si="13"/>
        <v>1</v>
      </c>
      <c r="K397" t="str">
        <f t="shared" si="14"/>
        <v>Low Risk</v>
      </c>
    </row>
    <row r="398" spans="1:11" x14ac:dyDescent="0.35">
      <c r="A398">
        <f>Raw_Data!A398</f>
        <v>397</v>
      </c>
      <c r="B398">
        <f>Raw_Data!B398</f>
        <v>35</v>
      </c>
      <c r="C398">
        <f>Raw_Data!D398</f>
        <v>11</v>
      </c>
      <c r="D398">
        <f>Raw_Data!F398</f>
        <v>2</v>
      </c>
      <c r="E398">
        <f>Raw_Data!H398</f>
        <v>1</v>
      </c>
      <c r="F398">
        <f>Raw_Data!G398</f>
        <v>0</v>
      </c>
      <c r="G398">
        <f>Raw_Data!E398</f>
        <v>20707.509999999998</v>
      </c>
      <c r="H398">
        <f>Raw_Data!I398</f>
        <v>20498.830000000002</v>
      </c>
      <c r="I398">
        <f>Raw_Data!J398</f>
        <v>0</v>
      </c>
      <c r="J398">
        <f t="shared" si="13"/>
        <v>2</v>
      </c>
      <c r="K398" t="str">
        <f t="shared" si="14"/>
        <v>Low Risk</v>
      </c>
    </row>
    <row r="399" spans="1:11" x14ac:dyDescent="0.35">
      <c r="A399">
        <f>Raw_Data!A399</f>
        <v>398</v>
      </c>
      <c r="B399">
        <f>Raw_Data!B399</f>
        <v>42</v>
      </c>
      <c r="C399">
        <f>Raw_Data!D399</f>
        <v>66</v>
      </c>
      <c r="D399">
        <f>Raw_Data!F399</f>
        <v>1</v>
      </c>
      <c r="E399">
        <f>Raw_Data!H399</f>
        <v>0</v>
      </c>
      <c r="F399">
        <f>Raw_Data!G399</f>
        <v>0</v>
      </c>
      <c r="G399">
        <f>Raw_Data!E399</f>
        <v>19771.71</v>
      </c>
      <c r="H399">
        <f>Raw_Data!I399</f>
        <v>85261.07</v>
      </c>
      <c r="I399">
        <f>Raw_Data!J399</f>
        <v>0</v>
      </c>
      <c r="J399">
        <f t="shared" si="13"/>
        <v>2</v>
      </c>
      <c r="K399" t="str">
        <f t="shared" si="14"/>
        <v>Low Risk</v>
      </c>
    </row>
    <row r="400" spans="1:11" x14ac:dyDescent="0.35">
      <c r="A400">
        <f>Raw_Data!A400</f>
        <v>399</v>
      </c>
      <c r="B400">
        <f>Raw_Data!B400</f>
        <v>59</v>
      </c>
      <c r="C400">
        <f>Raw_Data!D400</f>
        <v>46</v>
      </c>
      <c r="D400">
        <f>Raw_Data!F400</f>
        <v>2</v>
      </c>
      <c r="E400">
        <f>Raw_Data!H400</f>
        <v>0</v>
      </c>
      <c r="F400">
        <f>Raw_Data!G400</f>
        <v>1</v>
      </c>
      <c r="G400">
        <f>Raw_Data!E400</f>
        <v>15660.31</v>
      </c>
      <c r="H400">
        <f>Raw_Data!I400</f>
        <v>95806.62</v>
      </c>
      <c r="I400">
        <f>Raw_Data!J400</f>
        <v>0</v>
      </c>
      <c r="J400">
        <f t="shared" si="13"/>
        <v>3</v>
      </c>
      <c r="K400" t="str">
        <f t="shared" si="14"/>
        <v>Medium Risk</v>
      </c>
    </row>
    <row r="401" spans="1:11" x14ac:dyDescent="0.35">
      <c r="A401">
        <f>Raw_Data!A401</f>
        <v>400</v>
      </c>
      <c r="B401">
        <f>Raw_Data!B401</f>
        <v>48</v>
      </c>
      <c r="C401">
        <f>Raw_Data!D401</f>
        <v>9</v>
      </c>
      <c r="D401">
        <f>Raw_Data!F401</f>
        <v>1</v>
      </c>
      <c r="E401">
        <f>Raw_Data!H401</f>
        <v>1</v>
      </c>
      <c r="F401">
        <f>Raw_Data!G401</f>
        <v>1</v>
      </c>
      <c r="G401">
        <f>Raw_Data!E401</f>
        <v>7353.09</v>
      </c>
      <c r="H401">
        <f>Raw_Data!I401</f>
        <v>95265.49</v>
      </c>
      <c r="I401">
        <f>Raw_Data!J401</f>
        <v>0</v>
      </c>
      <c r="J401">
        <f t="shared" si="13"/>
        <v>2</v>
      </c>
      <c r="K401" t="str">
        <f t="shared" si="14"/>
        <v>Low Risk</v>
      </c>
    </row>
    <row r="402" spans="1:11" x14ac:dyDescent="0.35">
      <c r="A402">
        <f>Raw_Data!A402</f>
        <v>401</v>
      </c>
      <c r="B402">
        <f>Raw_Data!B402</f>
        <v>20</v>
      </c>
      <c r="C402">
        <f>Raw_Data!D402</f>
        <v>3</v>
      </c>
      <c r="D402">
        <f>Raw_Data!F402</f>
        <v>2</v>
      </c>
      <c r="E402">
        <f>Raw_Data!H402</f>
        <v>1</v>
      </c>
      <c r="F402">
        <f>Raw_Data!G402</f>
        <v>1</v>
      </c>
      <c r="G402">
        <f>Raw_Data!E402</f>
        <v>24392.560000000001</v>
      </c>
      <c r="H402">
        <f>Raw_Data!I402</f>
        <v>27086.55</v>
      </c>
      <c r="I402">
        <f>Raw_Data!J402</f>
        <v>0</v>
      </c>
      <c r="J402">
        <f t="shared" si="13"/>
        <v>2</v>
      </c>
      <c r="K402" t="str">
        <f t="shared" si="14"/>
        <v>Low Risk</v>
      </c>
    </row>
    <row r="403" spans="1:11" x14ac:dyDescent="0.35">
      <c r="A403">
        <f>Raw_Data!A403</f>
        <v>402</v>
      </c>
      <c r="B403">
        <f>Raw_Data!B403</f>
        <v>57</v>
      </c>
      <c r="C403">
        <f>Raw_Data!D403</f>
        <v>26</v>
      </c>
      <c r="D403">
        <f>Raw_Data!F403</f>
        <v>3</v>
      </c>
      <c r="E403">
        <f>Raw_Data!H403</f>
        <v>0</v>
      </c>
      <c r="F403">
        <f>Raw_Data!G403</f>
        <v>1</v>
      </c>
      <c r="G403">
        <f>Raw_Data!E403</f>
        <v>6502.39</v>
      </c>
      <c r="H403">
        <f>Raw_Data!I403</f>
        <v>60825.69</v>
      </c>
      <c r="I403">
        <f>Raw_Data!J403</f>
        <v>0</v>
      </c>
      <c r="J403">
        <f t="shared" si="13"/>
        <v>3</v>
      </c>
      <c r="K403" t="str">
        <f t="shared" si="14"/>
        <v>Medium Risk</v>
      </c>
    </row>
    <row r="404" spans="1:11" x14ac:dyDescent="0.35">
      <c r="A404">
        <f>Raw_Data!A404</f>
        <v>403</v>
      </c>
      <c r="B404">
        <f>Raw_Data!B404</f>
        <v>63</v>
      </c>
      <c r="C404">
        <f>Raw_Data!D404</f>
        <v>48</v>
      </c>
      <c r="D404">
        <f>Raw_Data!F404</f>
        <v>4</v>
      </c>
      <c r="E404">
        <f>Raw_Data!H404</f>
        <v>1</v>
      </c>
      <c r="F404">
        <f>Raw_Data!G404</f>
        <v>1</v>
      </c>
      <c r="G404">
        <f>Raw_Data!E404</f>
        <v>41774.01</v>
      </c>
      <c r="H404">
        <f>Raw_Data!I404</f>
        <v>84895.86</v>
      </c>
      <c r="I404">
        <f>Raw_Data!J404</f>
        <v>0</v>
      </c>
      <c r="J404">
        <f t="shared" si="13"/>
        <v>4</v>
      </c>
      <c r="K404" t="str">
        <f t="shared" si="14"/>
        <v>Medium Risk</v>
      </c>
    </row>
    <row r="405" spans="1:11" x14ac:dyDescent="0.35">
      <c r="A405">
        <f>Raw_Data!A405</f>
        <v>404</v>
      </c>
      <c r="B405">
        <f>Raw_Data!B405</f>
        <v>41</v>
      </c>
      <c r="C405">
        <f>Raw_Data!D405</f>
        <v>66</v>
      </c>
      <c r="D405">
        <f>Raw_Data!F405</f>
        <v>2</v>
      </c>
      <c r="E405">
        <f>Raw_Data!H405</f>
        <v>1</v>
      </c>
      <c r="F405">
        <f>Raw_Data!G405</f>
        <v>1</v>
      </c>
      <c r="G405">
        <f>Raw_Data!E405</f>
        <v>18519.849999999999</v>
      </c>
      <c r="H405">
        <f>Raw_Data!I405</f>
        <v>48155.29</v>
      </c>
      <c r="I405">
        <f>Raw_Data!J405</f>
        <v>0</v>
      </c>
      <c r="J405">
        <f t="shared" si="13"/>
        <v>0</v>
      </c>
      <c r="K405" t="str">
        <f t="shared" si="14"/>
        <v>Low Risk</v>
      </c>
    </row>
    <row r="406" spans="1:11" x14ac:dyDescent="0.35">
      <c r="A406">
        <f>Raw_Data!A406</f>
        <v>405</v>
      </c>
      <c r="B406">
        <f>Raw_Data!B406</f>
        <v>67</v>
      </c>
      <c r="C406">
        <f>Raw_Data!D406</f>
        <v>70</v>
      </c>
      <c r="D406">
        <f>Raw_Data!F406</f>
        <v>3</v>
      </c>
      <c r="E406">
        <f>Raw_Data!H406</f>
        <v>0</v>
      </c>
      <c r="F406">
        <f>Raw_Data!G406</f>
        <v>1</v>
      </c>
      <c r="G406">
        <f>Raw_Data!E406</f>
        <v>18740.18</v>
      </c>
      <c r="H406">
        <f>Raw_Data!I406</f>
        <v>133441.37</v>
      </c>
      <c r="I406">
        <f>Raw_Data!J406</f>
        <v>0</v>
      </c>
      <c r="J406">
        <f t="shared" si="13"/>
        <v>3</v>
      </c>
      <c r="K406" t="str">
        <f t="shared" si="14"/>
        <v>Medium Risk</v>
      </c>
    </row>
    <row r="407" spans="1:11" x14ac:dyDescent="0.35">
      <c r="A407">
        <f>Raw_Data!A407</f>
        <v>406</v>
      </c>
      <c r="B407">
        <f>Raw_Data!B407</f>
        <v>49</v>
      </c>
      <c r="C407">
        <f>Raw_Data!D407</f>
        <v>28</v>
      </c>
      <c r="D407">
        <f>Raw_Data!F407</f>
        <v>2</v>
      </c>
      <c r="E407">
        <f>Raw_Data!H407</f>
        <v>1</v>
      </c>
      <c r="F407">
        <f>Raw_Data!G407</f>
        <v>1</v>
      </c>
      <c r="G407">
        <f>Raw_Data!E407</f>
        <v>23700.32</v>
      </c>
      <c r="H407">
        <f>Raw_Data!I407</f>
        <v>31324.21</v>
      </c>
      <c r="I407">
        <f>Raw_Data!J407</f>
        <v>0</v>
      </c>
      <c r="J407">
        <f t="shared" si="13"/>
        <v>0</v>
      </c>
      <c r="K407" t="str">
        <f t="shared" si="14"/>
        <v>Low Risk</v>
      </c>
    </row>
    <row r="408" spans="1:11" x14ac:dyDescent="0.35">
      <c r="A408">
        <f>Raw_Data!A408</f>
        <v>407</v>
      </c>
      <c r="B408">
        <f>Raw_Data!B408</f>
        <v>64</v>
      </c>
      <c r="C408">
        <f>Raw_Data!D408</f>
        <v>26</v>
      </c>
      <c r="D408">
        <f>Raw_Data!F408</f>
        <v>2</v>
      </c>
      <c r="E408">
        <f>Raw_Data!H408</f>
        <v>0</v>
      </c>
      <c r="F408">
        <f>Raw_Data!G408</f>
        <v>0</v>
      </c>
      <c r="G408">
        <f>Raw_Data!E408</f>
        <v>22206.39</v>
      </c>
      <c r="H408">
        <f>Raw_Data!I408</f>
        <v>83359.98</v>
      </c>
      <c r="I408">
        <f>Raw_Data!J408</f>
        <v>0</v>
      </c>
      <c r="J408">
        <f t="shared" si="13"/>
        <v>3</v>
      </c>
      <c r="K408" t="str">
        <f t="shared" si="14"/>
        <v>Medium Risk</v>
      </c>
    </row>
    <row r="409" spans="1:11" x14ac:dyDescent="0.35">
      <c r="A409">
        <f>Raw_Data!A409</f>
        <v>408</v>
      </c>
      <c r="B409">
        <f>Raw_Data!B409</f>
        <v>39</v>
      </c>
      <c r="C409">
        <f>Raw_Data!D409</f>
        <v>25</v>
      </c>
      <c r="D409">
        <f>Raw_Data!F409</f>
        <v>2</v>
      </c>
      <c r="E409">
        <f>Raw_Data!H409</f>
        <v>0</v>
      </c>
      <c r="F409">
        <f>Raw_Data!G409</f>
        <v>0</v>
      </c>
      <c r="G409">
        <f>Raw_Data!E409</f>
        <v>49742.9</v>
      </c>
      <c r="H409">
        <f>Raw_Data!I409</f>
        <v>109884.09</v>
      </c>
      <c r="I409">
        <f>Raw_Data!J409</f>
        <v>0</v>
      </c>
      <c r="J409">
        <f t="shared" si="13"/>
        <v>3</v>
      </c>
      <c r="K409" t="str">
        <f t="shared" si="14"/>
        <v>Medium Risk</v>
      </c>
    </row>
    <row r="410" spans="1:11" x14ac:dyDescent="0.35">
      <c r="A410">
        <f>Raw_Data!A410</f>
        <v>409</v>
      </c>
      <c r="B410">
        <f>Raw_Data!B410</f>
        <v>40</v>
      </c>
      <c r="C410">
        <f>Raw_Data!D410</f>
        <v>12</v>
      </c>
      <c r="D410">
        <f>Raw_Data!F410</f>
        <v>3</v>
      </c>
      <c r="E410">
        <f>Raw_Data!H410</f>
        <v>0</v>
      </c>
      <c r="F410">
        <f>Raw_Data!G410</f>
        <v>0</v>
      </c>
      <c r="G410">
        <f>Raw_Data!E410</f>
        <v>27269.06</v>
      </c>
      <c r="H410">
        <f>Raw_Data!I410</f>
        <v>54027.64</v>
      </c>
      <c r="I410">
        <f>Raw_Data!J410</f>
        <v>0</v>
      </c>
      <c r="J410">
        <f t="shared" si="13"/>
        <v>4</v>
      </c>
      <c r="K410" t="str">
        <f t="shared" si="14"/>
        <v>Medium Risk</v>
      </c>
    </row>
    <row r="411" spans="1:11" x14ac:dyDescent="0.35">
      <c r="A411">
        <f>Raw_Data!A411</f>
        <v>410</v>
      </c>
      <c r="B411">
        <f>Raw_Data!B411</f>
        <v>19</v>
      </c>
      <c r="C411">
        <f>Raw_Data!D411</f>
        <v>5</v>
      </c>
      <c r="D411">
        <f>Raw_Data!F411</f>
        <v>4</v>
      </c>
      <c r="E411">
        <f>Raw_Data!H411</f>
        <v>0</v>
      </c>
      <c r="F411">
        <f>Raw_Data!G411</f>
        <v>1</v>
      </c>
      <c r="G411">
        <f>Raw_Data!E411</f>
        <v>4410.09</v>
      </c>
      <c r="H411">
        <f>Raw_Data!I411</f>
        <v>101151.3</v>
      </c>
      <c r="I411">
        <f>Raw_Data!J411</f>
        <v>1</v>
      </c>
      <c r="J411">
        <f t="shared" si="13"/>
        <v>6</v>
      </c>
      <c r="K411" t="str">
        <f t="shared" si="14"/>
        <v>High Risk</v>
      </c>
    </row>
    <row r="412" spans="1:11" x14ac:dyDescent="0.35">
      <c r="A412">
        <f>Raw_Data!A412</f>
        <v>411</v>
      </c>
      <c r="B412">
        <f>Raw_Data!B412</f>
        <v>44</v>
      </c>
      <c r="C412">
        <f>Raw_Data!D412</f>
        <v>48</v>
      </c>
      <c r="D412">
        <f>Raw_Data!F412</f>
        <v>3</v>
      </c>
      <c r="E412">
        <f>Raw_Data!H412</f>
        <v>1</v>
      </c>
      <c r="F412">
        <f>Raw_Data!G412</f>
        <v>1</v>
      </c>
      <c r="G412">
        <f>Raw_Data!E412</f>
        <v>30343.87</v>
      </c>
      <c r="H412">
        <f>Raw_Data!I412</f>
        <v>127820.07</v>
      </c>
      <c r="I412">
        <f>Raw_Data!J412</f>
        <v>0</v>
      </c>
      <c r="J412">
        <f t="shared" si="13"/>
        <v>0</v>
      </c>
      <c r="K412" t="str">
        <f t="shared" si="14"/>
        <v>Low Risk</v>
      </c>
    </row>
    <row r="413" spans="1:11" x14ac:dyDescent="0.35">
      <c r="A413">
        <f>Raw_Data!A413</f>
        <v>412</v>
      </c>
      <c r="B413">
        <f>Raw_Data!B413</f>
        <v>59</v>
      </c>
      <c r="C413">
        <f>Raw_Data!D413</f>
        <v>37</v>
      </c>
      <c r="D413">
        <f>Raw_Data!F413</f>
        <v>4</v>
      </c>
      <c r="E413">
        <f>Raw_Data!H413</f>
        <v>0</v>
      </c>
      <c r="F413">
        <f>Raw_Data!G413</f>
        <v>1</v>
      </c>
      <c r="G413">
        <f>Raw_Data!E413</f>
        <v>7579.21</v>
      </c>
      <c r="H413">
        <f>Raw_Data!I413</f>
        <v>44743.81</v>
      </c>
      <c r="I413">
        <f>Raw_Data!J413</f>
        <v>0</v>
      </c>
      <c r="J413">
        <f t="shared" si="13"/>
        <v>5</v>
      </c>
      <c r="K413" t="str">
        <f t="shared" si="14"/>
        <v>High Risk</v>
      </c>
    </row>
    <row r="414" spans="1:11" x14ac:dyDescent="0.35">
      <c r="A414">
        <f>Raw_Data!A414</f>
        <v>413</v>
      </c>
      <c r="B414">
        <f>Raw_Data!B414</f>
        <v>19</v>
      </c>
      <c r="C414">
        <f>Raw_Data!D414</f>
        <v>44</v>
      </c>
      <c r="D414">
        <f>Raw_Data!F414</f>
        <v>2</v>
      </c>
      <c r="E414">
        <f>Raw_Data!H414</f>
        <v>1</v>
      </c>
      <c r="F414">
        <f>Raw_Data!G414</f>
        <v>0</v>
      </c>
      <c r="G414">
        <f>Raw_Data!E414</f>
        <v>1546.88</v>
      </c>
      <c r="H414">
        <f>Raw_Data!I414</f>
        <v>139238.68</v>
      </c>
      <c r="I414">
        <f>Raw_Data!J414</f>
        <v>0</v>
      </c>
      <c r="J414">
        <f t="shared" si="13"/>
        <v>0</v>
      </c>
      <c r="K414" t="str">
        <f t="shared" si="14"/>
        <v>Low Risk</v>
      </c>
    </row>
    <row r="415" spans="1:11" x14ac:dyDescent="0.35">
      <c r="A415">
        <f>Raw_Data!A415</f>
        <v>414</v>
      </c>
      <c r="B415">
        <f>Raw_Data!B415</f>
        <v>43</v>
      </c>
      <c r="C415">
        <f>Raw_Data!D415</f>
        <v>15</v>
      </c>
      <c r="D415">
        <f>Raw_Data!F415</f>
        <v>1</v>
      </c>
      <c r="E415">
        <f>Raw_Data!H415</f>
        <v>1</v>
      </c>
      <c r="F415">
        <f>Raw_Data!G415</f>
        <v>1</v>
      </c>
      <c r="G415">
        <f>Raw_Data!E415</f>
        <v>48537.11</v>
      </c>
      <c r="H415">
        <f>Raw_Data!I415</f>
        <v>91962.61</v>
      </c>
      <c r="I415">
        <f>Raw_Data!J415</f>
        <v>0</v>
      </c>
      <c r="J415">
        <f t="shared" si="13"/>
        <v>1</v>
      </c>
      <c r="K415" t="str">
        <f t="shared" si="14"/>
        <v>Low Risk</v>
      </c>
    </row>
    <row r="416" spans="1:11" x14ac:dyDescent="0.35">
      <c r="A416">
        <f>Raw_Data!A416</f>
        <v>415</v>
      </c>
      <c r="B416">
        <f>Raw_Data!B416</f>
        <v>34</v>
      </c>
      <c r="C416">
        <f>Raw_Data!D416</f>
        <v>43</v>
      </c>
      <c r="D416">
        <f>Raw_Data!F416</f>
        <v>2</v>
      </c>
      <c r="E416">
        <f>Raw_Data!H416</f>
        <v>1</v>
      </c>
      <c r="F416">
        <f>Raw_Data!G416</f>
        <v>0</v>
      </c>
      <c r="G416">
        <f>Raw_Data!E416</f>
        <v>38676.94</v>
      </c>
      <c r="H416">
        <f>Raw_Data!I416</f>
        <v>58900.160000000003</v>
      </c>
      <c r="I416">
        <f>Raw_Data!J416</f>
        <v>0</v>
      </c>
      <c r="J416">
        <f t="shared" si="13"/>
        <v>0</v>
      </c>
      <c r="K416" t="str">
        <f t="shared" si="14"/>
        <v>Low Risk</v>
      </c>
    </row>
    <row r="417" spans="1:11" x14ac:dyDescent="0.35">
      <c r="A417">
        <f>Raw_Data!A417</f>
        <v>416</v>
      </c>
      <c r="B417">
        <f>Raw_Data!B417</f>
        <v>57</v>
      </c>
      <c r="C417">
        <f>Raw_Data!D417</f>
        <v>48</v>
      </c>
      <c r="D417">
        <f>Raw_Data!F417</f>
        <v>4</v>
      </c>
      <c r="E417">
        <f>Raw_Data!H417</f>
        <v>1</v>
      </c>
      <c r="F417">
        <f>Raw_Data!G417</f>
        <v>1</v>
      </c>
      <c r="G417">
        <f>Raw_Data!E417</f>
        <v>49005.45</v>
      </c>
      <c r="H417">
        <f>Raw_Data!I417</f>
        <v>76011.58</v>
      </c>
      <c r="I417">
        <f>Raw_Data!J417</f>
        <v>0</v>
      </c>
      <c r="J417">
        <f t="shared" si="13"/>
        <v>4</v>
      </c>
      <c r="K417" t="str">
        <f t="shared" si="14"/>
        <v>Medium Risk</v>
      </c>
    </row>
    <row r="418" spans="1:11" x14ac:dyDescent="0.35">
      <c r="A418">
        <f>Raw_Data!A418</f>
        <v>417</v>
      </c>
      <c r="B418">
        <f>Raw_Data!B418</f>
        <v>50</v>
      </c>
      <c r="C418">
        <f>Raw_Data!D418</f>
        <v>70</v>
      </c>
      <c r="D418">
        <f>Raw_Data!F418</f>
        <v>3</v>
      </c>
      <c r="E418">
        <f>Raw_Data!H418</f>
        <v>1</v>
      </c>
      <c r="F418">
        <f>Raw_Data!G418</f>
        <v>0</v>
      </c>
      <c r="G418">
        <f>Raw_Data!E418</f>
        <v>23893.919999999998</v>
      </c>
      <c r="H418">
        <f>Raw_Data!I418</f>
        <v>60584.94</v>
      </c>
      <c r="I418">
        <f>Raw_Data!J418</f>
        <v>0</v>
      </c>
      <c r="J418">
        <f t="shared" si="13"/>
        <v>0</v>
      </c>
      <c r="K418" t="str">
        <f t="shared" si="14"/>
        <v>Low Risk</v>
      </c>
    </row>
    <row r="419" spans="1:11" x14ac:dyDescent="0.35">
      <c r="A419">
        <f>Raw_Data!A419</f>
        <v>418</v>
      </c>
      <c r="B419">
        <f>Raw_Data!B419</f>
        <v>26</v>
      </c>
      <c r="C419">
        <f>Raw_Data!D419</f>
        <v>46</v>
      </c>
      <c r="D419">
        <f>Raw_Data!F419</f>
        <v>2</v>
      </c>
      <c r="E419">
        <f>Raw_Data!H419</f>
        <v>0</v>
      </c>
      <c r="F419">
        <f>Raw_Data!G419</f>
        <v>0</v>
      </c>
      <c r="G419">
        <f>Raw_Data!E419</f>
        <v>26612.880000000001</v>
      </c>
      <c r="H419">
        <f>Raw_Data!I419</f>
        <v>114264.45</v>
      </c>
      <c r="I419">
        <f>Raw_Data!J419</f>
        <v>0</v>
      </c>
      <c r="J419">
        <f t="shared" si="13"/>
        <v>2</v>
      </c>
      <c r="K419" t="str">
        <f t="shared" si="14"/>
        <v>Low Risk</v>
      </c>
    </row>
    <row r="420" spans="1:11" x14ac:dyDescent="0.35">
      <c r="A420">
        <f>Raw_Data!A420</f>
        <v>419</v>
      </c>
      <c r="B420">
        <f>Raw_Data!B420</f>
        <v>60</v>
      </c>
      <c r="C420">
        <f>Raw_Data!D420</f>
        <v>43</v>
      </c>
      <c r="D420">
        <f>Raw_Data!F420</f>
        <v>3</v>
      </c>
      <c r="E420">
        <f>Raw_Data!H420</f>
        <v>0</v>
      </c>
      <c r="F420">
        <f>Raw_Data!G420</f>
        <v>0</v>
      </c>
      <c r="G420">
        <f>Raw_Data!E420</f>
        <v>8416.85</v>
      </c>
      <c r="H420">
        <f>Raw_Data!I420</f>
        <v>123519.09</v>
      </c>
      <c r="I420">
        <f>Raw_Data!J420</f>
        <v>0</v>
      </c>
      <c r="J420">
        <f t="shared" si="13"/>
        <v>3</v>
      </c>
      <c r="K420" t="str">
        <f t="shared" si="14"/>
        <v>Medium Risk</v>
      </c>
    </row>
    <row r="421" spans="1:11" x14ac:dyDescent="0.35">
      <c r="A421">
        <f>Raw_Data!A421</f>
        <v>420</v>
      </c>
      <c r="B421">
        <f>Raw_Data!B421</f>
        <v>65</v>
      </c>
      <c r="C421">
        <f>Raw_Data!D421</f>
        <v>21</v>
      </c>
      <c r="D421">
        <f>Raw_Data!F421</f>
        <v>3</v>
      </c>
      <c r="E421">
        <f>Raw_Data!H421</f>
        <v>0</v>
      </c>
      <c r="F421">
        <f>Raw_Data!G421</f>
        <v>1</v>
      </c>
      <c r="G421">
        <f>Raw_Data!E421</f>
        <v>12345.37</v>
      </c>
      <c r="H421">
        <f>Raw_Data!I421</f>
        <v>128281.86</v>
      </c>
      <c r="I421">
        <f>Raw_Data!J421</f>
        <v>0</v>
      </c>
      <c r="J421">
        <f t="shared" si="13"/>
        <v>3</v>
      </c>
      <c r="K421" t="str">
        <f t="shared" si="14"/>
        <v>Medium Risk</v>
      </c>
    </row>
    <row r="422" spans="1:11" x14ac:dyDescent="0.35">
      <c r="A422">
        <f>Raw_Data!A422</f>
        <v>421</v>
      </c>
      <c r="B422">
        <f>Raw_Data!B422</f>
        <v>56</v>
      </c>
      <c r="C422">
        <f>Raw_Data!D422</f>
        <v>23</v>
      </c>
      <c r="D422">
        <f>Raw_Data!F422</f>
        <v>3</v>
      </c>
      <c r="E422">
        <f>Raw_Data!H422</f>
        <v>0</v>
      </c>
      <c r="F422">
        <f>Raw_Data!G422</f>
        <v>0</v>
      </c>
      <c r="G422">
        <f>Raw_Data!E422</f>
        <v>41927.46</v>
      </c>
      <c r="H422">
        <f>Raw_Data!I422</f>
        <v>148149.87</v>
      </c>
      <c r="I422">
        <f>Raw_Data!J422</f>
        <v>0</v>
      </c>
      <c r="J422">
        <f t="shared" si="13"/>
        <v>4</v>
      </c>
      <c r="K422" t="str">
        <f t="shared" si="14"/>
        <v>Medium Risk</v>
      </c>
    </row>
    <row r="423" spans="1:11" x14ac:dyDescent="0.35">
      <c r="A423">
        <f>Raw_Data!A423</f>
        <v>422</v>
      </c>
      <c r="B423">
        <f>Raw_Data!B423</f>
        <v>46</v>
      </c>
      <c r="C423">
        <f>Raw_Data!D423</f>
        <v>47</v>
      </c>
      <c r="D423">
        <f>Raw_Data!F423</f>
        <v>2</v>
      </c>
      <c r="E423">
        <f>Raw_Data!H423</f>
        <v>1</v>
      </c>
      <c r="F423">
        <f>Raw_Data!G423</f>
        <v>1</v>
      </c>
      <c r="G423">
        <f>Raw_Data!E423</f>
        <v>17809.28</v>
      </c>
      <c r="H423">
        <f>Raw_Data!I423</f>
        <v>122866.96</v>
      </c>
      <c r="I423">
        <f>Raw_Data!J423</f>
        <v>0</v>
      </c>
      <c r="J423">
        <f t="shared" si="13"/>
        <v>0</v>
      </c>
      <c r="K423" t="str">
        <f t="shared" si="14"/>
        <v>Low Risk</v>
      </c>
    </row>
    <row r="424" spans="1:11" x14ac:dyDescent="0.35">
      <c r="A424">
        <f>Raw_Data!A424</f>
        <v>423</v>
      </c>
      <c r="B424">
        <f>Raw_Data!B424</f>
        <v>59</v>
      </c>
      <c r="C424">
        <f>Raw_Data!D424</f>
        <v>15</v>
      </c>
      <c r="D424">
        <f>Raw_Data!F424</f>
        <v>3</v>
      </c>
      <c r="E424">
        <f>Raw_Data!H424</f>
        <v>0</v>
      </c>
      <c r="F424">
        <f>Raw_Data!G424</f>
        <v>1</v>
      </c>
      <c r="G424">
        <f>Raw_Data!E424</f>
        <v>41340.75</v>
      </c>
      <c r="H424">
        <f>Raw_Data!I424</f>
        <v>98179.93</v>
      </c>
      <c r="I424">
        <f>Raw_Data!J424</f>
        <v>0</v>
      </c>
      <c r="J424">
        <f t="shared" si="13"/>
        <v>4</v>
      </c>
      <c r="K424" t="str">
        <f t="shared" si="14"/>
        <v>Medium Risk</v>
      </c>
    </row>
    <row r="425" spans="1:11" x14ac:dyDescent="0.35">
      <c r="A425">
        <f>Raw_Data!A425</f>
        <v>424</v>
      </c>
      <c r="B425">
        <f>Raw_Data!B425</f>
        <v>43</v>
      </c>
      <c r="C425">
        <f>Raw_Data!D425</f>
        <v>25</v>
      </c>
      <c r="D425">
        <f>Raw_Data!F425</f>
        <v>3</v>
      </c>
      <c r="E425">
        <f>Raw_Data!H425</f>
        <v>1</v>
      </c>
      <c r="F425">
        <f>Raw_Data!G425</f>
        <v>1</v>
      </c>
      <c r="G425">
        <f>Raw_Data!E425</f>
        <v>35450.69</v>
      </c>
      <c r="H425">
        <f>Raw_Data!I425</f>
        <v>64098.64</v>
      </c>
      <c r="I425">
        <f>Raw_Data!J425</f>
        <v>0</v>
      </c>
      <c r="J425">
        <f t="shared" si="13"/>
        <v>0</v>
      </c>
      <c r="K425" t="str">
        <f t="shared" si="14"/>
        <v>Low Risk</v>
      </c>
    </row>
    <row r="426" spans="1:11" x14ac:dyDescent="0.35">
      <c r="A426">
        <f>Raw_Data!A426</f>
        <v>425</v>
      </c>
      <c r="B426">
        <f>Raw_Data!B426</f>
        <v>52</v>
      </c>
      <c r="C426">
        <f>Raw_Data!D426</f>
        <v>36</v>
      </c>
      <c r="D426">
        <f>Raw_Data!F426</f>
        <v>2</v>
      </c>
      <c r="E426">
        <f>Raw_Data!H426</f>
        <v>1</v>
      </c>
      <c r="F426">
        <f>Raw_Data!G426</f>
        <v>1</v>
      </c>
      <c r="G426">
        <f>Raw_Data!E426</f>
        <v>8858.5499999999993</v>
      </c>
      <c r="H426">
        <f>Raw_Data!I426</f>
        <v>90797.41</v>
      </c>
      <c r="I426">
        <f>Raw_Data!J426</f>
        <v>0</v>
      </c>
      <c r="J426">
        <f t="shared" si="13"/>
        <v>0</v>
      </c>
      <c r="K426" t="str">
        <f t="shared" si="14"/>
        <v>Low Risk</v>
      </c>
    </row>
    <row r="427" spans="1:11" x14ac:dyDescent="0.35">
      <c r="A427">
        <f>Raw_Data!A427</f>
        <v>426</v>
      </c>
      <c r="B427">
        <f>Raw_Data!B427</f>
        <v>67</v>
      </c>
      <c r="C427">
        <f>Raw_Data!D427</f>
        <v>51</v>
      </c>
      <c r="D427">
        <f>Raw_Data!F427</f>
        <v>3</v>
      </c>
      <c r="E427">
        <f>Raw_Data!H427</f>
        <v>0</v>
      </c>
      <c r="F427">
        <f>Raw_Data!G427</f>
        <v>1</v>
      </c>
      <c r="G427">
        <f>Raw_Data!E427</f>
        <v>25372.32</v>
      </c>
      <c r="H427">
        <f>Raw_Data!I427</f>
        <v>25338.86</v>
      </c>
      <c r="I427">
        <f>Raw_Data!J427</f>
        <v>0</v>
      </c>
      <c r="J427">
        <f t="shared" si="13"/>
        <v>3</v>
      </c>
      <c r="K427" t="str">
        <f t="shared" si="14"/>
        <v>Medium Risk</v>
      </c>
    </row>
    <row r="428" spans="1:11" x14ac:dyDescent="0.35">
      <c r="A428">
        <f>Raw_Data!A428</f>
        <v>427</v>
      </c>
      <c r="B428">
        <f>Raw_Data!B428</f>
        <v>42</v>
      </c>
      <c r="C428">
        <f>Raw_Data!D428</f>
        <v>15</v>
      </c>
      <c r="D428">
        <f>Raw_Data!F428</f>
        <v>2</v>
      </c>
      <c r="E428">
        <f>Raw_Data!H428</f>
        <v>0</v>
      </c>
      <c r="F428">
        <f>Raw_Data!G428</f>
        <v>0</v>
      </c>
      <c r="G428">
        <f>Raw_Data!E428</f>
        <v>33869.370000000003</v>
      </c>
      <c r="H428">
        <f>Raw_Data!I428</f>
        <v>116827.26</v>
      </c>
      <c r="I428">
        <f>Raw_Data!J428</f>
        <v>0</v>
      </c>
      <c r="J428">
        <f t="shared" si="13"/>
        <v>2</v>
      </c>
      <c r="K428" t="str">
        <f t="shared" si="14"/>
        <v>Low Risk</v>
      </c>
    </row>
    <row r="429" spans="1:11" x14ac:dyDescent="0.35">
      <c r="A429">
        <f>Raw_Data!A429</f>
        <v>428</v>
      </c>
      <c r="B429">
        <f>Raw_Data!B429</f>
        <v>41</v>
      </c>
      <c r="C429">
        <f>Raw_Data!D429</f>
        <v>68</v>
      </c>
      <c r="D429">
        <f>Raw_Data!F429</f>
        <v>4</v>
      </c>
      <c r="E429">
        <f>Raw_Data!H429</f>
        <v>0</v>
      </c>
      <c r="F429">
        <f>Raw_Data!G429</f>
        <v>1</v>
      </c>
      <c r="G429">
        <f>Raw_Data!E429</f>
        <v>11751.86</v>
      </c>
      <c r="H429">
        <f>Raw_Data!I429</f>
        <v>77974.22</v>
      </c>
      <c r="I429">
        <f>Raw_Data!J429</f>
        <v>0</v>
      </c>
      <c r="J429">
        <f t="shared" si="13"/>
        <v>4</v>
      </c>
      <c r="K429" t="str">
        <f t="shared" si="14"/>
        <v>Medium Risk</v>
      </c>
    </row>
    <row r="430" spans="1:11" x14ac:dyDescent="0.35">
      <c r="A430">
        <f>Raw_Data!A430</f>
        <v>429</v>
      </c>
      <c r="B430">
        <f>Raw_Data!B430</f>
        <v>30</v>
      </c>
      <c r="C430">
        <f>Raw_Data!D430</f>
        <v>21</v>
      </c>
      <c r="D430">
        <f>Raw_Data!F430</f>
        <v>4</v>
      </c>
      <c r="E430">
        <f>Raw_Data!H430</f>
        <v>0</v>
      </c>
      <c r="F430">
        <f>Raw_Data!G430</f>
        <v>1</v>
      </c>
      <c r="G430">
        <f>Raw_Data!E430</f>
        <v>41534.43</v>
      </c>
      <c r="H430">
        <f>Raw_Data!I430</f>
        <v>22603.02</v>
      </c>
      <c r="I430">
        <f>Raw_Data!J430</f>
        <v>0</v>
      </c>
      <c r="J430">
        <f t="shared" si="13"/>
        <v>5</v>
      </c>
      <c r="K430" t="str">
        <f t="shared" si="14"/>
        <v>High Risk</v>
      </c>
    </row>
    <row r="431" spans="1:11" x14ac:dyDescent="0.35">
      <c r="A431">
        <f>Raw_Data!A431</f>
        <v>430</v>
      </c>
      <c r="B431">
        <f>Raw_Data!B431</f>
        <v>24</v>
      </c>
      <c r="C431">
        <f>Raw_Data!D431</f>
        <v>13</v>
      </c>
      <c r="D431">
        <f>Raw_Data!F431</f>
        <v>4</v>
      </c>
      <c r="E431">
        <f>Raw_Data!H431</f>
        <v>1</v>
      </c>
      <c r="F431">
        <f>Raw_Data!G431</f>
        <v>1</v>
      </c>
      <c r="G431">
        <f>Raw_Data!E431</f>
        <v>27241.38</v>
      </c>
      <c r="H431">
        <f>Raw_Data!I431</f>
        <v>28125.9</v>
      </c>
      <c r="I431">
        <f>Raw_Data!J431</f>
        <v>0</v>
      </c>
      <c r="J431">
        <f t="shared" si="13"/>
        <v>2</v>
      </c>
      <c r="K431" t="str">
        <f t="shared" si="14"/>
        <v>Low Risk</v>
      </c>
    </row>
    <row r="432" spans="1:11" x14ac:dyDescent="0.35">
      <c r="A432">
        <f>Raw_Data!A432</f>
        <v>431</v>
      </c>
      <c r="B432">
        <f>Raw_Data!B432</f>
        <v>53</v>
      </c>
      <c r="C432">
        <f>Raw_Data!D432</f>
        <v>19</v>
      </c>
      <c r="D432">
        <f>Raw_Data!F432</f>
        <v>3</v>
      </c>
      <c r="E432">
        <f>Raw_Data!H432</f>
        <v>1</v>
      </c>
      <c r="F432">
        <f>Raw_Data!G432</f>
        <v>1</v>
      </c>
      <c r="G432">
        <f>Raw_Data!E432</f>
        <v>8262.1</v>
      </c>
      <c r="H432">
        <f>Raw_Data!I432</f>
        <v>70370.64</v>
      </c>
      <c r="I432">
        <f>Raw_Data!J432</f>
        <v>0</v>
      </c>
      <c r="J432">
        <f t="shared" si="13"/>
        <v>0</v>
      </c>
      <c r="K432" t="str">
        <f t="shared" si="14"/>
        <v>Low Risk</v>
      </c>
    </row>
    <row r="433" spans="1:11" x14ac:dyDescent="0.35">
      <c r="A433">
        <f>Raw_Data!A433</f>
        <v>432</v>
      </c>
      <c r="B433">
        <f>Raw_Data!B433</f>
        <v>62</v>
      </c>
      <c r="C433">
        <f>Raw_Data!D433</f>
        <v>34</v>
      </c>
      <c r="D433">
        <f>Raw_Data!F433</f>
        <v>1</v>
      </c>
      <c r="E433">
        <f>Raw_Data!H433</f>
        <v>0</v>
      </c>
      <c r="F433">
        <f>Raw_Data!G433</f>
        <v>1</v>
      </c>
      <c r="G433">
        <f>Raw_Data!E433</f>
        <v>29149.22</v>
      </c>
      <c r="H433">
        <f>Raw_Data!I433</f>
        <v>95844.800000000003</v>
      </c>
      <c r="I433">
        <f>Raw_Data!J433</f>
        <v>0</v>
      </c>
      <c r="J433">
        <f t="shared" si="13"/>
        <v>3</v>
      </c>
      <c r="K433" t="str">
        <f t="shared" si="14"/>
        <v>Medium Risk</v>
      </c>
    </row>
    <row r="434" spans="1:11" x14ac:dyDescent="0.35">
      <c r="A434">
        <f>Raw_Data!A434</f>
        <v>433</v>
      </c>
      <c r="B434">
        <f>Raw_Data!B434</f>
        <v>37</v>
      </c>
      <c r="C434">
        <f>Raw_Data!D434</f>
        <v>68</v>
      </c>
      <c r="D434">
        <f>Raw_Data!F434</f>
        <v>1</v>
      </c>
      <c r="E434">
        <f>Raw_Data!H434</f>
        <v>1</v>
      </c>
      <c r="F434">
        <f>Raw_Data!G434</f>
        <v>0</v>
      </c>
      <c r="G434">
        <f>Raw_Data!E434</f>
        <v>49985.69</v>
      </c>
      <c r="H434">
        <f>Raw_Data!I434</f>
        <v>80346.509999999995</v>
      </c>
      <c r="I434">
        <f>Raw_Data!J434</f>
        <v>0</v>
      </c>
      <c r="J434">
        <f t="shared" si="13"/>
        <v>1</v>
      </c>
      <c r="K434" t="str">
        <f t="shared" si="14"/>
        <v>Low Risk</v>
      </c>
    </row>
    <row r="435" spans="1:11" x14ac:dyDescent="0.35">
      <c r="A435">
        <f>Raw_Data!A435</f>
        <v>434</v>
      </c>
      <c r="B435">
        <f>Raw_Data!B435</f>
        <v>18</v>
      </c>
      <c r="C435">
        <f>Raw_Data!D435</f>
        <v>52</v>
      </c>
      <c r="D435">
        <f>Raw_Data!F435</f>
        <v>3</v>
      </c>
      <c r="E435">
        <f>Raw_Data!H435</f>
        <v>1</v>
      </c>
      <c r="F435">
        <f>Raw_Data!G435</f>
        <v>0</v>
      </c>
      <c r="G435">
        <f>Raw_Data!E435</f>
        <v>7526.07</v>
      </c>
      <c r="H435">
        <f>Raw_Data!I435</f>
        <v>100496.56</v>
      </c>
      <c r="I435">
        <f>Raw_Data!J435</f>
        <v>0</v>
      </c>
      <c r="J435">
        <f t="shared" si="13"/>
        <v>0</v>
      </c>
      <c r="K435" t="str">
        <f t="shared" si="14"/>
        <v>Low Risk</v>
      </c>
    </row>
    <row r="436" spans="1:11" x14ac:dyDescent="0.35">
      <c r="A436">
        <f>Raw_Data!A436</f>
        <v>435</v>
      </c>
      <c r="B436">
        <f>Raw_Data!B436</f>
        <v>25</v>
      </c>
      <c r="C436">
        <f>Raw_Data!D436</f>
        <v>27</v>
      </c>
      <c r="D436">
        <f>Raw_Data!F436</f>
        <v>1</v>
      </c>
      <c r="E436">
        <f>Raw_Data!H436</f>
        <v>1</v>
      </c>
      <c r="F436">
        <f>Raw_Data!G436</f>
        <v>1</v>
      </c>
      <c r="G436">
        <f>Raw_Data!E436</f>
        <v>40837.85</v>
      </c>
      <c r="H436">
        <f>Raw_Data!I436</f>
        <v>82438.25</v>
      </c>
      <c r="I436">
        <f>Raw_Data!J436</f>
        <v>0</v>
      </c>
      <c r="J436">
        <f t="shared" si="13"/>
        <v>1</v>
      </c>
      <c r="K436" t="str">
        <f t="shared" si="14"/>
        <v>Low Risk</v>
      </c>
    </row>
    <row r="437" spans="1:11" x14ac:dyDescent="0.35">
      <c r="A437">
        <f>Raw_Data!A437</f>
        <v>436</v>
      </c>
      <c r="B437">
        <f>Raw_Data!B437</f>
        <v>63</v>
      </c>
      <c r="C437">
        <f>Raw_Data!D437</f>
        <v>29</v>
      </c>
      <c r="D437">
        <f>Raw_Data!F437</f>
        <v>2</v>
      </c>
      <c r="E437">
        <f>Raw_Data!H437</f>
        <v>0</v>
      </c>
      <c r="F437">
        <f>Raw_Data!G437</f>
        <v>0</v>
      </c>
      <c r="G437">
        <f>Raw_Data!E437</f>
        <v>10365.450000000001</v>
      </c>
      <c r="H437">
        <f>Raw_Data!I437</f>
        <v>106021.5</v>
      </c>
      <c r="I437">
        <f>Raw_Data!J437</f>
        <v>0</v>
      </c>
      <c r="J437">
        <f t="shared" si="13"/>
        <v>3</v>
      </c>
      <c r="K437" t="str">
        <f t="shared" si="14"/>
        <v>Medium Risk</v>
      </c>
    </row>
    <row r="438" spans="1:11" x14ac:dyDescent="0.35">
      <c r="A438">
        <f>Raw_Data!A438</f>
        <v>437</v>
      </c>
      <c r="B438">
        <f>Raw_Data!B438</f>
        <v>33</v>
      </c>
      <c r="C438">
        <f>Raw_Data!D438</f>
        <v>28</v>
      </c>
      <c r="D438">
        <f>Raw_Data!F438</f>
        <v>1</v>
      </c>
      <c r="E438">
        <f>Raw_Data!H438</f>
        <v>1</v>
      </c>
      <c r="F438">
        <f>Raw_Data!G438</f>
        <v>0</v>
      </c>
      <c r="G438">
        <f>Raw_Data!E438</f>
        <v>39119.42</v>
      </c>
      <c r="H438">
        <f>Raw_Data!I438</f>
        <v>48486.39</v>
      </c>
      <c r="I438">
        <f>Raw_Data!J438</f>
        <v>0</v>
      </c>
      <c r="J438">
        <f t="shared" si="13"/>
        <v>0</v>
      </c>
      <c r="K438" t="str">
        <f t="shared" si="14"/>
        <v>Low Risk</v>
      </c>
    </row>
    <row r="439" spans="1:11" x14ac:dyDescent="0.35">
      <c r="A439">
        <f>Raw_Data!A439</f>
        <v>438</v>
      </c>
      <c r="B439">
        <f>Raw_Data!B439</f>
        <v>31</v>
      </c>
      <c r="C439">
        <f>Raw_Data!D439</f>
        <v>35</v>
      </c>
      <c r="D439">
        <f>Raw_Data!F439</f>
        <v>3</v>
      </c>
      <c r="E439">
        <f>Raw_Data!H439</f>
        <v>0</v>
      </c>
      <c r="F439">
        <f>Raw_Data!G439</f>
        <v>1</v>
      </c>
      <c r="G439">
        <f>Raw_Data!E439</f>
        <v>36728.9</v>
      </c>
      <c r="H439">
        <f>Raw_Data!I439</f>
        <v>34669.61</v>
      </c>
      <c r="I439">
        <f>Raw_Data!J439</f>
        <v>0</v>
      </c>
      <c r="J439">
        <f t="shared" si="13"/>
        <v>2</v>
      </c>
      <c r="K439" t="str">
        <f t="shared" si="14"/>
        <v>Low Risk</v>
      </c>
    </row>
    <row r="440" spans="1:11" x14ac:dyDescent="0.35">
      <c r="A440">
        <f>Raw_Data!A440</f>
        <v>439</v>
      </c>
      <c r="B440">
        <f>Raw_Data!B440</f>
        <v>29</v>
      </c>
      <c r="C440">
        <f>Raw_Data!D440</f>
        <v>8</v>
      </c>
      <c r="D440">
        <f>Raw_Data!F440</f>
        <v>3</v>
      </c>
      <c r="E440">
        <f>Raw_Data!H440</f>
        <v>0</v>
      </c>
      <c r="F440">
        <f>Raw_Data!G440</f>
        <v>0</v>
      </c>
      <c r="G440">
        <f>Raw_Data!E440</f>
        <v>15024.47</v>
      </c>
      <c r="H440">
        <f>Raw_Data!I440</f>
        <v>97536.41</v>
      </c>
      <c r="I440">
        <f>Raw_Data!J440</f>
        <v>0</v>
      </c>
      <c r="J440">
        <f t="shared" si="13"/>
        <v>4</v>
      </c>
      <c r="K440" t="str">
        <f t="shared" si="14"/>
        <v>Medium Risk</v>
      </c>
    </row>
    <row r="441" spans="1:11" x14ac:dyDescent="0.35">
      <c r="A441">
        <f>Raw_Data!A441</f>
        <v>440</v>
      </c>
      <c r="B441">
        <f>Raw_Data!B441</f>
        <v>68</v>
      </c>
      <c r="C441">
        <f>Raw_Data!D441</f>
        <v>16</v>
      </c>
      <c r="D441">
        <f>Raw_Data!F441</f>
        <v>2</v>
      </c>
      <c r="E441">
        <f>Raw_Data!H441</f>
        <v>1</v>
      </c>
      <c r="F441">
        <f>Raw_Data!G441</f>
        <v>1</v>
      </c>
      <c r="G441">
        <f>Raw_Data!E441</f>
        <v>16291.16</v>
      </c>
      <c r="H441">
        <f>Raw_Data!I441</f>
        <v>83009.64</v>
      </c>
      <c r="I441">
        <f>Raw_Data!J441</f>
        <v>0</v>
      </c>
      <c r="J441">
        <f t="shared" si="13"/>
        <v>1</v>
      </c>
      <c r="K441" t="str">
        <f t="shared" si="14"/>
        <v>Low Risk</v>
      </c>
    </row>
    <row r="442" spans="1:11" x14ac:dyDescent="0.35">
      <c r="A442">
        <f>Raw_Data!A442</f>
        <v>441</v>
      </c>
      <c r="B442">
        <f>Raw_Data!B442</f>
        <v>40</v>
      </c>
      <c r="C442">
        <f>Raw_Data!D442</f>
        <v>36</v>
      </c>
      <c r="D442">
        <f>Raw_Data!F442</f>
        <v>4</v>
      </c>
      <c r="E442">
        <f>Raw_Data!H442</f>
        <v>1</v>
      </c>
      <c r="F442">
        <f>Raw_Data!G442</f>
        <v>0</v>
      </c>
      <c r="G442">
        <f>Raw_Data!E442</f>
        <v>39626.07</v>
      </c>
      <c r="H442">
        <f>Raw_Data!I442</f>
        <v>23492.799999999999</v>
      </c>
      <c r="I442">
        <f>Raw_Data!J442</f>
        <v>0</v>
      </c>
      <c r="J442">
        <f t="shared" si="13"/>
        <v>2</v>
      </c>
      <c r="K442" t="str">
        <f t="shared" si="14"/>
        <v>Low Risk</v>
      </c>
    </row>
    <row r="443" spans="1:11" x14ac:dyDescent="0.35">
      <c r="A443">
        <f>Raw_Data!A443</f>
        <v>442</v>
      </c>
      <c r="B443">
        <f>Raw_Data!B443</f>
        <v>32</v>
      </c>
      <c r="C443">
        <f>Raw_Data!D443</f>
        <v>30</v>
      </c>
      <c r="D443">
        <f>Raw_Data!F443</f>
        <v>3</v>
      </c>
      <c r="E443">
        <f>Raw_Data!H443</f>
        <v>0</v>
      </c>
      <c r="F443">
        <f>Raw_Data!G443</f>
        <v>0</v>
      </c>
      <c r="G443">
        <f>Raw_Data!E443</f>
        <v>23072.28</v>
      </c>
      <c r="H443">
        <f>Raw_Data!I443</f>
        <v>69462.649999999994</v>
      </c>
      <c r="I443">
        <f>Raw_Data!J443</f>
        <v>0</v>
      </c>
      <c r="J443">
        <f t="shared" si="13"/>
        <v>2</v>
      </c>
      <c r="K443" t="str">
        <f t="shared" si="14"/>
        <v>Low Risk</v>
      </c>
    </row>
    <row r="444" spans="1:11" x14ac:dyDescent="0.35">
      <c r="A444">
        <f>Raw_Data!A444</f>
        <v>443</v>
      </c>
      <c r="B444">
        <f>Raw_Data!B444</f>
        <v>45</v>
      </c>
      <c r="C444">
        <f>Raw_Data!D444</f>
        <v>18</v>
      </c>
      <c r="D444">
        <f>Raw_Data!F444</f>
        <v>2</v>
      </c>
      <c r="E444">
        <f>Raw_Data!H444</f>
        <v>1</v>
      </c>
      <c r="F444">
        <f>Raw_Data!G444</f>
        <v>0</v>
      </c>
      <c r="G444">
        <f>Raw_Data!E444</f>
        <v>36540.9</v>
      </c>
      <c r="H444">
        <f>Raw_Data!I444</f>
        <v>33796.33</v>
      </c>
      <c r="I444">
        <f>Raw_Data!J444</f>
        <v>0</v>
      </c>
      <c r="J444">
        <f t="shared" si="13"/>
        <v>0</v>
      </c>
      <c r="K444" t="str">
        <f t="shared" si="14"/>
        <v>Low Risk</v>
      </c>
    </row>
    <row r="445" spans="1:11" x14ac:dyDescent="0.35">
      <c r="A445">
        <f>Raw_Data!A445</f>
        <v>444</v>
      </c>
      <c r="B445">
        <f>Raw_Data!B445</f>
        <v>51</v>
      </c>
      <c r="C445">
        <f>Raw_Data!D445</f>
        <v>2</v>
      </c>
      <c r="D445">
        <f>Raw_Data!F445</f>
        <v>1</v>
      </c>
      <c r="E445">
        <f>Raw_Data!H445</f>
        <v>1</v>
      </c>
      <c r="F445">
        <f>Raw_Data!G445</f>
        <v>1</v>
      </c>
      <c r="G445">
        <f>Raw_Data!E445</f>
        <v>7399.21</v>
      </c>
      <c r="H445">
        <f>Raw_Data!I445</f>
        <v>89076.39</v>
      </c>
      <c r="I445">
        <f>Raw_Data!J445</f>
        <v>0</v>
      </c>
      <c r="J445">
        <f t="shared" si="13"/>
        <v>2</v>
      </c>
      <c r="K445" t="str">
        <f t="shared" si="14"/>
        <v>Low Risk</v>
      </c>
    </row>
    <row r="446" spans="1:11" x14ac:dyDescent="0.35">
      <c r="A446">
        <f>Raw_Data!A446</f>
        <v>445</v>
      </c>
      <c r="B446">
        <f>Raw_Data!B446</f>
        <v>19</v>
      </c>
      <c r="C446">
        <f>Raw_Data!D446</f>
        <v>49</v>
      </c>
      <c r="D446">
        <f>Raw_Data!F446</f>
        <v>1</v>
      </c>
      <c r="E446">
        <f>Raw_Data!H446</f>
        <v>0</v>
      </c>
      <c r="F446">
        <f>Raw_Data!G446</f>
        <v>0</v>
      </c>
      <c r="G446">
        <f>Raw_Data!E446</f>
        <v>42627.89</v>
      </c>
      <c r="H446">
        <f>Raw_Data!I446</f>
        <v>71451.100000000006</v>
      </c>
      <c r="I446">
        <f>Raw_Data!J446</f>
        <v>0</v>
      </c>
      <c r="J446">
        <f t="shared" si="13"/>
        <v>3</v>
      </c>
      <c r="K446" t="str">
        <f t="shared" si="14"/>
        <v>Medium Risk</v>
      </c>
    </row>
    <row r="447" spans="1:11" x14ac:dyDescent="0.35">
      <c r="A447">
        <f>Raw_Data!A447</f>
        <v>446</v>
      </c>
      <c r="B447">
        <f>Raw_Data!B447</f>
        <v>49</v>
      </c>
      <c r="C447">
        <f>Raw_Data!D447</f>
        <v>4</v>
      </c>
      <c r="D447">
        <f>Raw_Data!F447</f>
        <v>2</v>
      </c>
      <c r="E447">
        <f>Raw_Data!H447</f>
        <v>0</v>
      </c>
      <c r="F447">
        <f>Raw_Data!G447</f>
        <v>0</v>
      </c>
      <c r="G447">
        <f>Raw_Data!E447</f>
        <v>35544.239999999998</v>
      </c>
      <c r="H447">
        <f>Raw_Data!I447</f>
        <v>99709.75</v>
      </c>
      <c r="I447">
        <f>Raw_Data!J447</f>
        <v>0</v>
      </c>
      <c r="J447">
        <f t="shared" si="13"/>
        <v>4</v>
      </c>
      <c r="K447" t="str">
        <f t="shared" si="14"/>
        <v>Medium Risk</v>
      </c>
    </row>
    <row r="448" spans="1:11" x14ac:dyDescent="0.35">
      <c r="A448">
        <f>Raw_Data!A448</f>
        <v>447</v>
      </c>
      <c r="B448">
        <f>Raw_Data!B448</f>
        <v>40</v>
      </c>
      <c r="C448">
        <f>Raw_Data!D448</f>
        <v>7</v>
      </c>
      <c r="D448">
        <f>Raw_Data!F448</f>
        <v>2</v>
      </c>
      <c r="E448">
        <f>Raw_Data!H448</f>
        <v>0</v>
      </c>
      <c r="F448">
        <f>Raw_Data!G448</f>
        <v>1</v>
      </c>
      <c r="G448">
        <f>Raw_Data!E448</f>
        <v>45347.14</v>
      </c>
      <c r="H448">
        <f>Raw_Data!I448</f>
        <v>124728.29</v>
      </c>
      <c r="I448">
        <f>Raw_Data!J448</f>
        <v>0</v>
      </c>
      <c r="J448">
        <f t="shared" si="13"/>
        <v>5</v>
      </c>
      <c r="K448" t="str">
        <f t="shared" si="14"/>
        <v>High Risk</v>
      </c>
    </row>
    <row r="449" spans="1:11" x14ac:dyDescent="0.35">
      <c r="A449">
        <f>Raw_Data!A449</f>
        <v>448</v>
      </c>
      <c r="B449">
        <f>Raw_Data!B449</f>
        <v>39</v>
      </c>
      <c r="C449">
        <f>Raw_Data!D449</f>
        <v>39</v>
      </c>
      <c r="D449">
        <f>Raw_Data!F449</f>
        <v>3</v>
      </c>
      <c r="E449">
        <f>Raw_Data!H449</f>
        <v>0</v>
      </c>
      <c r="F449">
        <f>Raw_Data!G449</f>
        <v>1</v>
      </c>
      <c r="G449">
        <f>Raw_Data!E449</f>
        <v>6618.62</v>
      </c>
      <c r="H449">
        <f>Raw_Data!I449</f>
        <v>58956.93</v>
      </c>
      <c r="I449">
        <f>Raw_Data!J449</f>
        <v>0</v>
      </c>
      <c r="J449">
        <f t="shared" si="13"/>
        <v>2</v>
      </c>
      <c r="K449" t="str">
        <f t="shared" si="14"/>
        <v>Low Risk</v>
      </c>
    </row>
    <row r="450" spans="1:11" x14ac:dyDescent="0.35">
      <c r="A450">
        <f>Raw_Data!A450</f>
        <v>449</v>
      </c>
      <c r="B450">
        <f>Raw_Data!B450</f>
        <v>68</v>
      </c>
      <c r="C450">
        <f>Raw_Data!D450</f>
        <v>13</v>
      </c>
      <c r="D450">
        <f>Raw_Data!F450</f>
        <v>1</v>
      </c>
      <c r="E450">
        <f>Raw_Data!H450</f>
        <v>1</v>
      </c>
      <c r="F450">
        <f>Raw_Data!G450</f>
        <v>0</v>
      </c>
      <c r="G450">
        <f>Raw_Data!E450</f>
        <v>29650.73</v>
      </c>
      <c r="H450">
        <f>Raw_Data!I450</f>
        <v>145073.26999999999</v>
      </c>
      <c r="I450">
        <f>Raw_Data!J450</f>
        <v>0</v>
      </c>
      <c r="J450">
        <f t="shared" si="13"/>
        <v>1</v>
      </c>
      <c r="K450" t="str">
        <f t="shared" si="14"/>
        <v>Low Risk</v>
      </c>
    </row>
    <row r="451" spans="1:11" x14ac:dyDescent="0.35">
      <c r="A451">
        <f>Raw_Data!A451</f>
        <v>450</v>
      </c>
      <c r="B451">
        <f>Raw_Data!B451</f>
        <v>42</v>
      </c>
      <c r="C451">
        <f>Raw_Data!D451</f>
        <v>31</v>
      </c>
      <c r="D451">
        <f>Raw_Data!F451</f>
        <v>2</v>
      </c>
      <c r="E451">
        <f>Raw_Data!H451</f>
        <v>1</v>
      </c>
      <c r="F451">
        <f>Raw_Data!G451</f>
        <v>1</v>
      </c>
      <c r="G451">
        <f>Raw_Data!E451</f>
        <v>29956.03</v>
      </c>
      <c r="H451">
        <f>Raw_Data!I451</f>
        <v>89632.49</v>
      </c>
      <c r="I451">
        <f>Raw_Data!J451</f>
        <v>0</v>
      </c>
      <c r="J451">
        <f t="shared" ref="J451:J514" si="15">IF(E451=0,2,0)+IF(D451=4,2,0)+IF(C451&lt;=12,2,0)+IF(B451&gt;=56,1,0)+IF(G451&gt;=40000,1,0)</f>
        <v>0</v>
      </c>
      <c r="K451" t="str">
        <f t="shared" ref="K451:K514" si="16">IF(J451&gt;=5,"High Risk",IF(J451&gt;=3,"Medium Risk","Low Risk"))</f>
        <v>Low Risk</v>
      </c>
    </row>
    <row r="452" spans="1:11" x14ac:dyDescent="0.35">
      <c r="A452">
        <f>Raw_Data!A452</f>
        <v>451</v>
      </c>
      <c r="B452">
        <f>Raw_Data!B452</f>
        <v>39</v>
      </c>
      <c r="C452">
        <f>Raw_Data!D452</f>
        <v>71</v>
      </c>
      <c r="D452">
        <f>Raw_Data!F452</f>
        <v>1</v>
      </c>
      <c r="E452">
        <f>Raw_Data!H452</f>
        <v>0</v>
      </c>
      <c r="F452">
        <f>Raw_Data!G452</f>
        <v>0</v>
      </c>
      <c r="G452">
        <f>Raw_Data!E452</f>
        <v>17673.04</v>
      </c>
      <c r="H452">
        <f>Raw_Data!I452</f>
        <v>100377.8</v>
      </c>
      <c r="I452">
        <f>Raw_Data!J452</f>
        <v>0</v>
      </c>
      <c r="J452">
        <f t="shared" si="15"/>
        <v>2</v>
      </c>
      <c r="K452" t="str">
        <f t="shared" si="16"/>
        <v>Low Risk</v>
      </c>
    </row>
    <row r="453" spans="1:11" x14ac:dyDescent="0.35">
      <c r="A453">
        <f>Raw_Data!A453</f>
        <v>452</v>
      </c>
      <c r="B453">
        <f>Raw_Data!B453</f>
        <v>39</v>
      </c>
      <c r="C453">
        <f>Raw_Data!D453</f>
        <v>63</v>
      </c>
      <c r="D453">
        <f>Raw_Data!F453</f>
        <v>2</v>
      </c>
      <c r="E453">
        <f>Raw_Data!H453</f>
        <v>0</v>
      </c>
      <c r="F453">
        <f>Raw_Data!G453</f>
        <v>0</v>
      </c>
      <c r="G453">
        <f>Raw_Data!E453</f>
        <v>22923.32</v>
      </c>
      <c r="H453">
        <f>Raw_Data!I453</f>
        <v>108487.41</v>
      </c>
      <c r="I453">
        <f>Raw_Data!J453</f>
        <v>0</v>
      </c>
      <c r="J453">
        <f t="shared" si="15"/>
        <v>2</v>
      </c>
      <c r="K453" t="str">
        <f t="shared" si="16"/>
        <v>Low Risk</v>
      </c>
    </row>
    <row r="454" spans="1:11" x14ac:dyDescent="0.35">
      <c r="A454">
        <f>Raw_Data!A454</f>
        <v>453</v>
      </c>
      <c r="B454">
        <f>Raw_Data!B454</f>
        <v>66</v>
      </c>
      <c r="C454">
        <f>Raw_Data!D454</f>
        <v>56</v>
      </c>
      <c r="D454">
        <f>Raw_Data!F454</f>
        <v>1</v>
      </c>
      <c r="E454">
        <f>Raw_Data!H454</f>
        <v>0</v>
      </c>
      <c r="F454">
        <f>Raw_Data!G454</f>
        <v>1</v>
      </c>
      <c r="G454">
        <f>Raw_Data!E454</f>
        <v>1899.08</v>
      </c>
      <c r="H454">
        <f>Raw_Data!I454</f>
        <v>106675.1</v>
      </c>
      <c r="I454">
        <f>Raw_Data!J454</f>
        <v>0</v>
      </c>
      <c r="J454">
        <f t="shared" si="15"/>
        <v>3</v>
      </c>
      <c r="K454" t="str">
        <f t="shared" si="16"/>
        <v>Medium Risk</v>
      </c>
    </row>
    <row r="455" spans="1:11" x14ac:dyDescent="0.35">
      <c r="A455">
        <f>Raw_Data!A455</f>
        <v>454</v>
      </c>
      <c r="B455">
        <f>Raw_Data!B455</f>
        <v>69</v>
      </c>
      <c r="C455">
        <f>Raw_Data!D455</f>
        <v>42</v>
      </c>
      <c r="D455">
        <f>Raw_Data!F455</f>
        <v>4</v>
      </c>
      <c r="E455">
        <f>Raw_Data!H455</f>
        <v>1</v>
      </c>
      <c r="F455">
        <f>Raw_Data!G455</f>
        <v>1</v>
      </c>
      <c r="G455">
        <f>Raw_Data!E455</f>
        <v>37293</v>
      </c>
      <c r="H455">
        <f>Raw_Data!I455</f>
        <v>86426.2</v>
      </c>
      <c r="I455">
        <f>Raw_Data!J455</f>
        <v>0</v>
      </c>
      <c r="J455">
        <f t="shared" si="15"/>
        <v>3</v>
      </c>
      <c r="K455" t="str">
        <f t="shared" si="16"/>
        <v>Medium Risk</v>
      </c>
    </row>
    <row r="456" spans="1:11" x14ac:dyDescent="0.35">
      <c r="A456">
        <f>Raw_Data!A456</f>
        <v>455</v>
      </c>
      <c r="B456">
        <f>Raw_Data!B456</f>
        <v>59</v>
      </c>
      <c r="C456">
        <f>Raw_Data!D456</f>
        <v>61</v>
      </c>
      <c r="D456">
        <f>Raw_Data!F456</f>
        <v>3</v>
      </c>
      <c r="E456">
        <f>Raw_Data!H456</f>
        <v>0</v>
      </c>
      <c r="F456">
        <f>Raw_Data!G456</f>
        <v>1</v>
      </c>
      <c r="G456">
        <f>Raw_Data!E456</f>
        <v>27466.12</v>
      </c>
      <c r="H456">
        <f>Raw_Data!I456</f>
        <v>75739.360000000001</v>
      </c>
      <c r="I456">
        <f>Raw_Data!J456</f>
        <v>0</v>
      </c>
      <c r="J456">
        <f t="shared" si="15"/>
        <v>3</v>
      </c>
      <c r="K456" t="str">
        <f t="shared" si="16"/>
        <v>Medium Risk</v>
      </c>
    </row>
    <row r="457" spans="1:11" x14ac:dyDescent="0.35">
      <c r="A457">
        <f>Raw_Data!A457</f>
        <v>456</v>
      </c>
      <c r="B457">
        <f>Raw_Data!B457</f>
        <v>23</v>
      </c>
      <c r="C457">
        <f>Raw_Data!D457</f>
        <v>42</v>
      </c>
      <c r="D457">
        <f>Raw_Data!F457</f>
        <v>1</v>
      </c>
      <c r="E457">
        <f>Raw_Data!H457</f>
        <v>1</v>
      </c>
      <c r="F457">
        <f>Raw_Data!G457</f>
        <v>0</v>
      </c>
      <c r="G457">
        <f>Raw_Data!E457</f>
        <v>2887.05</v>
      </c>
      <c r="H457">
        <f>Raw_Data!I457</f>
        <v>26991.66</v>
      </c>
      <c r="I457">
        <f>Raw_Data!J457</f>
        <v>0</v>
      </c>
      <c r="J457">
        <f t="shared" si="15"/>
        <v>0</v>
      </c>
      <c r="K457" t="str">
        <f t="shared" si="16"/>
        <v>Low Risk</v>
      </c>
    </row>
    <row r="458" spans="1:11" x14ac:dyDescent="0.35">
      <c r="A458">
        <f>Raw_Data!A458</f>
        <v>457</v>
      </c>
      <c r="B458">
        <f>Raw_Data!B458</f>
        <v>32</v>
      </c>
      <c r="C458">
        <f>Raw_Data!D458</f>
        <v>56</v>
      </c>
      <c r="D458">
        <f>Raw_Data!F458</f>
        <v>4</v>
      </c>
      <c r="E458">
        <f>Raw_Data!H458</f>
        <v>0</v>
      </c>
      <c r="F458">
        <f>Raw_Data!G458</f>
        <v>1</v>
      </c>
      <c r="G458">
        <f>Raw_Data!E458</f>
        <v>34037.79</v>
      </c>
      <c r="H458">
        <f>Raw_Data!I458</f>
        <v>22871.16</v>
      </c>
      <c r="I458">
        <f>Raw_Data!J458</f>
        <v>0</v>
      </c>
      <c r="J458">
        <f t="shared" si="15"/>
        <v>4</v>
      </c>
      <c r="K458" t="str">
        <f t="shared" si="16"/>
        <v>Medium Risk</v>
      </c>
    </row>
    <row r="459" spans="1:11" x14ac:dyDescent="0.35">
      <c r="A459">
        <f>Raw_Data!A459</f>
        <v>458</v>
      </c>
      <c r="B459">
        <f>Raw_Data!B459</f>
        <v>60</v>
      </c>
      <c r="C459">
        <f>Raw_Data!D459</f>
        <v>36</v>
      </c>
      <c r="D459">
        <f>Raw_Data!F459</f>
        <v>1</v>
      </c>
      <c r="E459">
        <f>Raw_Data!H459</f>
        <v>0</v>
      </c>
      <c r="F459">
        <f>Raw_Data!G459</f>
        <v>0</v>
      </c>
      <c r="G459">
        <f>Raw_Data!E459</f>
        <v>23339.1</v>
      </c>
      <c r="H459">
        <f>Raw_Data!I459</f>
        <v>66534.960000000006</v>
      </c>
      <c r="I459">
        <f>Raw_Data!J459</f>
        <v>0</v>
      </c>
      <c r="J459">
        <f t="shared" si="15"/>
        <v>3</v>
      </c>
      <c r="K459" t="str">
        <f t="shared" si="16"/>
        <v>Medium Risk</v>
      </c>
    </row>
    <row r="460" spans="1:11" x14ac:dyDescent="0.35">
      <c r="A460">
        <f>Raw_Data!A460</f>
        <v>459</v>
      </c>
      <c r="B460">
        <f>Raw_Data!B460</f>
        <v>54</v>
      </c>
      <c r="C460">
        <f>Raw_Data!D460</f>
        <v>68</v>
      </c>
      <c r="D460">
        <f>Raw_Data!F460</f>
        <v>1</v>
      </c>
      <c r="E460">
        <f>Raw_Data!H460</f>
        <v>0</v>
      </c>
      <c r="F460">
        <f>Raw_Data!G460</f>
        <v>1</v>
      </c>
      <c r="G460">
        <f>Raw_Data!E460</f>
        <v>1723.06</v>
      </c>
      <c r="H460">
        <f>Raw_Data!I460</f>
        <v>63375.92</v>
      </c>
      <c r="I460">
        <f>Raw_Data!J460</f>
        <v>0</v>
      </c>
      <c r="J460">
        <f t="shared" si="15"/>
        <v>2</v>
      </c>
      <c r="K460" t="str">
        <f t="shared" si="16"/>
        <v>Low Risk</v>
      </c>
    </row>
    <row r="461" spans="1:11" x14ac:dyDescent="0.35">
      <c r="A461">
        <f>Raw_Data!A461</f>
        <v>460</v>
      </c>
      <c r="B461">
        <f>Raw_Data!B461</f>
        <v>50</v>
      </c>
      <c r="C461">
        <f>Raw_Data!D461</f>
        <v>7</v>
      </c>
      <c r="D461">
        <f>Raw_Data!F461</f>
        <v>4</v>
      </c>
      <c r="E461">
        <f>Raw_Data!H461</f>
        <v>1</v>
      </c>
      <c r="F461">
        <f>Raw_Data!G461</f>
        <v>0</v>
      </c>
      <c r="G461">
        <f>Raw_Data!E461</f>
        <v>48480.39</v>
      </c>
      <c r="H461">
        <f>Raw_Data!I461</f>
        <v>70400.37</v>
      </c>
      <c r="I461">
        <f>Raw_Data!J461</f>
        <v>0</v>
      </c>
      <c r="J461">
        <f t="shared" si="15"/>
        <v>5</v>
      </c>
      <c r="K461" t="str">
        <f t="shared" si="16"/>
        <v>High Risk</v>
      </c>
    </row>
    <row r="462" spans="1:11" x14ac:dyDescent="0.35">
      <c r="A462">
        <f>Raw_Data!A462</f>
        <v>461</v>
      </c>
      <c r="B462">
        <f>Raw_Data!B462</f>
        <v>25</v>
      </c>
      <c r="C462">
        <f>Raw_Data!D462</f>
        <v>54</v>
      </c>
      <c r="D462">
        <f>Raw_Data!F462</f>
        <v>1</v>
      </c>
      <c r="E462">
        <f>Raw_Data!H462</f>
        <v>1</v>
      </c>
      <c r="F462">
        <f>Raw_Data!G462</f>
        <v>1</v>
      </c>
      <c r="G462">
        <f>Raw_Data!E462</f>
        <v>47455.61</v>
      </c>
      <c r="H462">
        <f>Raw_Data!I462</f>
        <v>37987.870000000003</v>
      </c>
      <c r="I462">
        <f>Raw_Data!J462</f>
        <v>0</v>
      </c>
      <c r="J462">
        <f t="shared" si="15"/>
        <v>1</v>
      </c>
      <c r="K462" t="str">
        <f t="shared" si="16"/>
        <v>Low Risk</v>
      </c>
    </row>
    <row r="463" spans="1:11" x14ac:dyDescent="0.35">
      <c r="A463">
        <f>Raw_Data!A463</f>
        <v>462</v>
      </c>
      <c r="B463">
        <f>Raw_Data!B463</f>
        <v>61</v>
      </c>
      <c r="C463">
        <f>Raw_Data!D463</f>
        <v>1</v>
      </c>
      <c r="D463">
        <f>Raw_Data!F463</f>
        <v>1</v>
      </c>
      <c r="E463">
        <f>Raw_Data!H463</f>
        <v>1</v>
      </c>
      <c r="F463">
        <f>Raw_Data!G463</f>
        <v>0</v>
      </c>
      <c r="G463">
        <f>Raw_Data!E463</f>
        <v>25645.119999999999</v>
      </c>
      <c r="H463">
        <f>Raw_Data!I463</f>
        <v>115961.88</v>
      </c>
      <c r="I463">
        <f>Raw_Data!J463</f>
        <v>0</v>
      </c>
      <c r="J463">
        <f t="shared" si="15"/>
        <v>3</v>
      </c>
      <c r="K463" t="str">
        <f t="shared" si="16"/>
        <v>Medium Risk</v>
      </c>
    </row>
    <row r="464" spans="1:11" x14ac:dyDescent="0.35">
      <c r="A464">
        <f>Raw_Data!A464</f>
        <v>463</v>
      </c>
      <c r="B464">
        <f>Raw_Data!B464</f>
        <v>61</v>
      </c>
      <c r="C464">
        <f>Raw_Data!D464</f>
        <v>44</v>
      </c>
      <c r="D464">
        <f>Raw_Data!F464</f>
        <v>3</v>
      </c>
      <c r="E464">
        <f>Raw_Data!H464</f>
        <v>0</v>
      </c>
      <c r="F464">
        <f>Raw_Data!G464</f>
        <v>1</v>
      </c>
      <c r="G464">
        <f>Raw_Data!E464</f>
        <v>4683.62</v>
      </c>
      <c r="H464">
        <f>Raw_Data!I464</f>
        <v>131405.37</v>
      </c>
      <c r="I464">
        <f>Raw_Data!J464</f>
        <v>0</v>
      </c>
      <c r="J464">
        <f t="shared" si="15"/>
        <v>3</v>
      </c>
      <c r="K464" t="str">
        <f t="shared" si="16"/>
        <v>Medium Risk</v>
      </c>
    </row>
    <row r="465" spans="1:11" x14ac:dyDescent="0.35">
      <c r="A465">
        <f>Raw_Data!A465</f>
        <v>464</v>
      </c>
      <c r="B465">
        <f>Raw_Data!B465</f>
        <v>22</v>
      </c>
      <c r="C465">
        <f>Raw_Data!D465</f>
        <v>45</v>
      </c>
      <c r="D465">
        <f>Raw_Data!F465</f>
        <v>4</v>
      </c>
      <c r="E465">
        <f>Raw_Data!H465</f>
        <v>1</v>
      </c>
      <c r="F465">
        <f>Raw_Data!G465</f>
        <v>0</v>
      </c>
      <c r="G465">
        <f>Raw_Data!E465</f>
        <v>37731.06</v>
      </c>
      <c r="H465">
        <f>Raw_Data!I465</f>
        <v>142032.9</v>
      </c>
      <c r="I465">
        <f>Raw_Data!J465</f>
        <v>0</v>
      </c>
      <c r="J465">
        <f t="shared" si="15"/>
        <v>2</v>
      </c>
      <c r="K465" t="str">
        <f t="shared" si="16"/>
        <v>Low Risk</v>
      </c>
    </row>
    <row r="466" spans="1:11" x14ac:dyDescent="0.35">
      <c r="A466">
        <f>Raw_Data!A466</f>
        <v>465</v>
      </c>
      <c r="B466">
        <f>Raw_Data!B466</f>
        <v>56</v>
      </c>
      <c r="C466">
        <f>Raw_Data!D466</f>
        <v>47</v>
      </c>
      <c r="D466">
        <f>Raw_Data!F466</f>
        <v>4</v>
      </c>
      <c r="E466">
        <f>Raw_Data!H466</f>
        <v>1</v>
      </c>
      <c r="F466">
        <f>Raw_Data!G466</f>
        <v>1</v>
      </c>
      <c r="G466">
        <f>Raw_Data!E466</f>
        <v>24596.560000000001</v>
      </c>
      <c r="H466">
        <f>Raw_Data!I466</f>
        <v>84007.1</v>
      </c>
      <c r="I466">
        <f>Raw_Data!J466</f>
        <v>0</v>
      </c>
      <c r="J466">
        <f t="shared" si="15"/>
        <v>3</v>
      </c>
      <c r="K466" t="str">
        <f t="shared" si="16"/>
        <v>Medium Risk</v>
      </c>
    </row>
    <row r="467" spans="1:11" x14ac:dyDescent="0.35">
      <c r="A467">
        <f>Raw_Data!A467</f>
        <v>466</v>
      </c>
      <c r="B467">
        <f>Raw_Data!B467</f>
        <v>21</v>
      </c>
      <c r="C467">
        <f>Raw_Data!D467</f>
        <v>13</v>
      </c>
      <c r="D467">
        <f>Raw_Data!F467</f>
        <v>2</v>
      </c>
      <c r="E467">
        <f>Raw_Data!H467</f>
        <v>0</v>
      </c>
      <c r="F467">
        <f>Raw_Data!G467</f>
        <v>1</v>
      </c>
      <c r="G467">
        <f>Raw_Data!E467</f>
        <v>15122.37</v>
      </c>
      <c r="H467">
        <f>Raw_Data!I467</f>
        <v>111112.54</v>
      </c>
      <c r="I467">
        <f>Raw_Data!J467</f>
        <v>0</v>
      </c>
      <c r="J467">
        <f t="shared" si="15"/>
        <v>2</v>
      </c>
      <c r="K467" t="str">
        <f t="shared" si="16"/>
        <v>Low Risk</v>
      </c>
    </row>
    <row r="468" spans="1:11" x14ac:dyDescent="0.35">
      <c r="A468">
        <f>Raw_Data!A468</f>
        <v>467</v>
      </c>
      <c r="B468">
        <f>Raw_Data!B468</f>
        <v>23</v>
      </c>
      <c r="C468">
        <f>Raw_Data!D468</f>
        <v>22</v>
      </c>
      <c r="D468">
        <f>Raw_Data!F468</f>
        <v>1</v>
      </c>
      <c r="E468">
        <f>Raw_Data!H468</f>
        <v>0</v>
      </c>
      <c r="F468">
        <f>Raw_Data!G468</f>
        <v>0</v>
      </c>
      <c r="G468">
        <f>Raw_Data!E468</f>
        <v>24570.91</v>
      </c>
      <c r="H468">
        <f>Raw_Data!I468</f>
        <v>131221.65</v>
      </c>
      <c r="I468">
        <f>Raw_Data!J468</f>
        <v>0</v>
      </c>
      <c r="J468">
        <f t="shared" si="15"/>
        <v>2</v>
      </c>
      <c r="K468" t="str">
        <f t="shared" si="16"/>
        <v>Low Risk</v>
      </c>
    </row>
    <row r="469" spans="1:11" x14ac:dyDescent="0.35">
      <c r="A469">
        <f>Raw_Data!A469</f>
        <v>468</v>
      </c>
      <c r="B469">
        <f>Raw_Data!B469</f>
        <v>62</v>
      </c>
      <c r="C469">
        <f>Raw_Data!D469</f>
        <v>21</v>
      </c>
      <c r="D469">
        <f>Raw_Data!F469</f>
        <v>3</v>
      </c>
      <c r="E469">
        <f>Raw_Data!H469</f>
        <v>1</v>
      </c>
      <c r="F469">
        <f>Raw_Data!G469</f>
        <v>1</v>
      </c>
      <c r="G469">
        <f>Raw_Data!E469</f>
        <v>26122.21</v>
      </c>
      <c r="H469">
        <f>Raw_Data!I469</f>
        <v>74377.84</v>
      </c>
      <c r="I469">
        <f>Raw_Data!J469</f>
        <v>0</v>
      </c>
      <c r="J469">
        <f t="shared" si="15"/>
        <v>1</v>
      </c>
      <c r="K469" t="str">
        <f t="shared" si="16"/>
        <v>Low Risk</v>
      </c>
    </row>
    <row r="470" spans="1:11" x14ac:dyDescent="0.35">
      <c r="A470">
        <f>Raw_Data!A470</f>
        <v>469</v>
      </c>
      <c r="B470">
        <f>Raw_Data!B470</f>
        <v>49</v>
      </c>
      <c r="C470">
        <f>Raw_Data!D470</f>
        <v>9</v>
      </c>
      <c r="D470">
        <f>Raw_Data!F470</f>
        <v>1</v>
      </c>
      <c r="E470">
        <f>Raw_Data!H470</f>
        <v>1</v>
      </c>
      <c r="F470">
        <f>Raw_Data!G470</f>
        <v>0</v>
      </c>
      <c r="G470">
        <f>Raw_Data!E470</f>
        <v>28135.58</v>
      </c>
      <c r="H470">
        <f>Raw_Data!I470</f>
        <v>60223.66</v>
      </c>
      <c r="I470">
        <f>Raw_Data!J470</f>
        <v>0</v>
      </c>
      <c r="J470">
        <f t="shared" si="15"/>
        <v>2</v>
      </c>
      <c r="K470" t="str">
        <f t="shared" si="16"/>
        <v>Low Risk</v>
      </c>
    </row>
    <row r="471" spans="1:11" x14ac:dyDescent="0.35">
      <c r="A471">
        <f>Raw_Data!A471</f>
        <v>470</v>
      </c>
      <c r="B471">
        <f>Raw_Data!B471</f>
        <v>69</v>
      </c>
      <c r="C471">
        <f>Raw_Data!D471</f>
        <v>26</v>
      </c>
      <c r="D471">
        <f>Raw_Data!F471</f>
        <v>1</v>
      </c>
      <c r="E471">
        <f>Raw_Data!H471</f>
        <v>1</v>
      </c>
      <c r="F471">
        <f>Raw_Data!G471</f>
        <v>0</v>
      </c>
      <c r="G471">
        <f>Raw_Data!E471</f>
        <v>22061.19</v>
      </c>
      <c r="H471">
        <f>Raw_Data!I471</f>
        <v>141774.19</v>
      </c>
      <c r="I471">
        <f>Raw_Data!J471</f>
        <v>0</v>
      </c>
      <c r="J471">
        <f t="shared" si="15"/>
        <v>1</v>
      </c>
      <c r="K471" t="str">
        <f t="shared" si="16"/>
        <v>Low Risk</v>
      </c>
    </row>
    <row r="472" spans="1:11" x14ac:dyDescent="0.35">
      <c r="A472">
        <f>Raw_Data!A472</f>
        <v>471</v>
      </c>
      <c r="B472">
        <f>Raw_Data!B472</f>
        <v>47</v>
      </c>
      <c r="C472">
        <f>Raw_Data!D472</f>
        <v>9</v>
      </c>
      <c r="D472">
        <f>Raw_Data!F472</f>
        <v>2</v>
      </c>
      <c r="E472">
        <f>Raw_Data!H472</f>
        <v>1</v>
      </c>
      <c r="F472">
        <f>Raw_Data!G472</f>
        <v>1</v>
      </c>
      <c r="G472">
        <f>Raw_Data!E472</f>
        <v>30287.77</v>
      </c>
      <c r="H472">
        <f>Raw_Data!I472</f>
        <v>87037.95</v>
      </c>
      <c r="I472">
        <f>Raw_Data!J472</f>
        <v>0</v>
      </c>
      <c r="J472">
        <f t="shared" si="15"/>
        <v>2</v>
      </c>
      <c r="K472" t="str">
        <f t="shared" si="16"/>
        <v>Low Risk</v>
      </c>
    </row>
    <row r="473" spans="1:11" x14ac:dyDescent="0.35">
      <c r="A473">
        <f>Raw_Data!A473</f>
        <v>472</v>
      </c>
      <c r="B473">
        <f>Raw_Data!B473</f>
        <v>64</v>
      </c>
      <c r="C473">
        <f>Raw_Data!D473</f>
        <v>15</v>
      </c>
      <c r="D473">
        <f>Raw_Data!F473</f>
        <v>1</v>
      </c>
      <c r="E473">
        <f>Raw_Data!H473</f>
        <v>0</v>
      </c>
      <c r="F473">
        <f>Raw_Data!G473</f>
        <v>0</v>
      </c>
      <c r="G473">
        <f>Raw_Data!E473</f>
        <v>45936.74</v>
      </c>
      <c r="H473">
        <f>Raw_Data!I473</f>
        <v>84643.01</v>
      </c>
      <c r="I473">
        <f>Raw_Data!J473</f>
        <v>0</v>
      </c>
      <c r="J473">
        <f t="shared" si="15"/>
        <v>4</v>
      </c>
      <c r="K473" t="str">
        <f t="shared" si="16"/>
        <v>Medium Risk</v>
      </c>
    </row>
    <row r="474" spans="1:11" x14ac:dyDescent="0.35">
      <c r="A474">
        <f>Raw_Data!A474</f>
        <v>473</v>
      </c>
      <c r="B474">
        <f>Raw_Data!B474</f>
        <v>52</v>
      </c>
      <c r="C474">
        <f>Raw_Data!D474</f>
        <v>10</v>
      </c>
      <c r="D474">
        <f>Raw_Data!F474</f>
        <v>3</v>
      </c>
      <c r="E474">
        <f>Raw_Data!H474</f>
        <v>0</v>
      </c>
      <c r="F474">
        <f>Raw_Data!G474</f>
        <v>1</v>
      </c>
      <c r="G474">
        <f>Raw_Data!E474</f>
        <v>18113.400000000001</v>
      </c>
      <c r="H474">
        <f>Raw_Data!I474</f>
        <v>43194.09</v>
      </c>
      <c r="I474">
        <f>Raw_Data!J474</f>
        <v>0</v>
      </c>
      <c r="J474">
        <f t="shared" si="15"/>
        <v>4</v>
      </c>
      <c r="K474" t="str">
        <f t="shared" si="16"/>
        <v>Medium Risk</v>
      </c>
    </row>
    <row r="475" spans="1:11" x14ac:dyDescent="0.35">
      <c r="A475">
        <f>Raw_Data!A475</f>
        <v>474</v>
      </c>
      <c r="B475">
        <f>Raw_Data!B475</f>
        <v>57</v>
      </c>
      <c r="C475">
        <f>Raw_Data!D475</f>
        <v>42</v>
      </c>
      <c r="D475">
        <f>Raw_Data!F475</f>
        <v>3</v>
      </c>
      <c r="E475">
        <f>Raw_Data!H475</f>
        <v>0</v>
      </c>
      <c r="F475">
        <f>Raw_Data!G475</f>
        <v>1</v>
      </c>
      <c r="G475">
        <f>Raw_Data!E475</f>
        <v>36285.82</v>
      </c>
      <c r="H475">
        <f>Raw_Data!I475</f>
        <v>34060.15</v>
      </c>
      <c r="I475">
        <f>Raw_Data!J475</f>
        <v>0</v>
      </c>
      <c r="J475">
        <f t="shared" si="15"/>
        <v>3</v>
      </c>
      <c r="K475" t="str">
        <f t="shared" si="16"/>
        <v>Medium Risk</v>
      </c>
    </row>
    <row r="476" spans="1:11" x14ac:dyDescent="0.35">
      <c r="A476">
        <f>Raw_Data!A476</f>
        <v>475</v>
      </c>
      <c r="B476">
        <f>Raw_Data!B476</f>
        <v>69</v>
      </c>
      <c r="C476">
        <f>Raw_Data!D476</f>
        <v>24</v>
      </c>
      <c r="D476">
        <f>Raw_Data!F476</f>
        <v>2</v>
      </c>
      <c r="E476">
        <f>Raw_Data!H476</f>
        <v>1</v>
      </c>
      <c r="F476">
        <f>Raw_Data!G476</f>
        <v>0</v>
      </c>
      <c r="G476">
        <f>Raw_Data!E476</f>
        <v>44722.63</v>
      </c>
      <c r="H476">
        <f>Raw_Data!I476</f>
        <v>129473.89</v>
      </c>
      <c r="I476">
        <f>Raw_Data!J476</f>
        <v>0</v>
      </c>
      <c r="J476">
        <f t="shared" si="15"/>
        <v>2</v>
      </c>
      <c r="K476" t="str">
        <f t="shared" si="16"/>
        <v>Low Risk</v>
      </c>
    </row>
    <row r="477" spans="1:11" x14ac:dyDescent="0.35">
      <c r="A477">
        <f>Raw_Data!A477</f>
        <v>476</v>
      </c>
      <c r="B477">
        <f>Raw_Data!B477</f>
        <v>33</v>
      </c>
      <c r="C477">
        <f>Raw_Data!D477</f>
        <v>49</v>
      </c>
      <c r="D477">
        <f>Raw_Data!F477</f>
        <v>1</v>
      </c>
      <c r="E477">
        <f>Raw_Data!H477</f>
        <v>1</v>
      </c>
      <c r="F477">
        <f>Raw_Data!G477</f>
        <v>1</v>
      </c>
      <c r="G477">
        <f>Raw_Data!E477</f>
        <v>22798.959999999999</v>
      </c>
      <c r="H477">
        <f>Raw_Data!I477</f>
        <v>99837.31</v>
      </c>
      <c r="I477">
        <f>Raw_Data!J477</f>
        <v>0</v>
      </c>
      <c r="J477">
        <f t="shared" si="15"/>
        <v>0</v>
      </c>
      <c r="K477" t="str">
        <f t="shared" si="16"/>
        <v>Low Risk</v>
      </c>
    </row>
    <row r="478" spans="1:11" x14ac:dyDescent="0.35">
      <c r="A478">
        <f>Raw_Data!A478</f>
        <v>477</v>
      </c>
      <c r="B478">
        <f>Raw_Data!B478</f>
        <v>30</v>
      </c>
      <c r="C478">
        <f>Raw_Data!D478</f>
        <v>26</v>
      </c>
      <c r="D478">
        <f>Raw_Data!F478</f>
        <v>3</v>
      </c>
      <c r="E478">
        <f>Raw_Data!H478</f>
        <v>0</v>
      </c>
      <c r="F478">
        <f>Raw_Data!G478</f>
        <v>0</v>
      </c>
      <c r="G478">
        <f>Raw_Data!E478</f>
        <v>22172.79</v>
      </c>
      <c r="H478">
        <f>Raw_Data!I478</f>
        <v>62357.2</v>
      </c>
      <c r="I478">
        <f>Raw_Data!J478</f>
        <v>0</v>
      </c>
      <c r="J478">
        <f t="shared" si="15"/>
        <v>2</v>
      </c>
      <c r="K478" t="str">
        <f t="shared" si="16"/>
        <v>Low Risk</v>
      </c>
    </row>
    <row r="479" spans="1:11" x14ac:dyDescent="0.35">
      <c r="A479">
        <f>Raw_Data!A479</f>
        <v>478</v>
      </c>
      <c r="B479">
        <f>Raw_Data!B479</f>
        <v>67</v>
      </c>
      <c r="C479">
        <f>Raw_Data!D479</f>
        <v>37</v>
      </c>
      <c r="D479">
        <f>Raw_Data!F479</f>
        <v>1</v>
      </c>
      <c r="E479">
        <f>Raw_Data!H479</f>
        <v>0</v>
      </c>
      <c r="F479">
        <f>Raw_Data!G479</f>
        <v>0</v>
      </c>
      <c r="G479">
        <f>Raw_Data!E479</f>
        <v>30105.85</v>
      </c>
      <c r="H479">
        <f>Raw_Data!I479</f>
        <v>44925.71</v>
      </c>
      <c r="I479">
        <f>Raw_Data!J479</f>
        <v>0</v>
      </c>
      <c r="J479">
        <f t="shared" si="15"/>
        <v>3</v>
      </c>
      <c r="K479" t="str">
        <f t="shared" si="16"/>
        <v>Medium Risk</v>
      </c>
    </row>
    <row r="480" spans="1:11" x14ac:dyDescent="0.35">
      <c r="A480">
        <f>Raw_Data!A480</f>
        <v>479</v>
      </c>
      <c r="B480">
        <f>Raw_Data!B480</f>
        <v>59</v>
      </c>
      <c r="C480">
        <f>Raw_Data!D480</f>
        <v>68</v>
      </c>
      <c r="D480">
        <f>Raw_Data!F480</f>
        <v>1</v>
      </c>
      <c r="E480">
        <f>Raw_Data!H480</f>
        <v>1</v>
      </c>
      <c r="F480">
        <f>Raw_Data!G480</f>
        <v>1</v>
      </c>
      <c r="G480">
        <f>Raw_Data!E480</f>
        <v>29570.34</v>
      </c>
      <c r="H480">
        <f>Raw_Data!I480</f>
        <v>92214.65</v>
      </c>
      <c r="I480">
        <f>Raw_Data!J480</f>
        <v>0</v>
      </c>
      <c r="J480">
        <f t="shared" si="15"/>
        <v>1</v>
      </c>
      <c r="K480" t="str">
        <f t="shared" si="16"/>
        <v>Low Risk</v>
      </c>
    </row>
    <row r="481" spans="1:11" x14ac:dyDescent="0.35">
      <c r="A481">
        <f>Raw_Data!A481</f>
        <v>480</v>
      </c>
      <c r="B481">
        <f>Raw_Data!B481</f>
        <v>47</v>
      </c>
      <c r="C481">
        <f>Raw_Data!D481</f>
        <v>50</v>
      </c>
      <c r="D481">
        <f>Raw_Data!F481</f>
        <v>1</v>
      </c>
      <c r="E481">
        <f>Raw_Data!H481</f>
        <v>1</v>
      </c>
      <c r="F481">
        <f>Raw_Data!G481</f>
        <v>1</v>
      </c>
      <c r="G481">
        <f>Raw_Data!E481</f>
        <v>40329.47</v>
      </c>
      <c r="H481">
        <f>Raw_Data!I481</f>
        <v>95909.51</v>
      </c>
      <c r="I481">
        <f>Raw_Data!J481</f>
        <v>0</v>
      </c>
      <c r="J481">
        <f t="shared" si="15"/>
        <v>1</v>
      </c>
      <c r="K481" t="str">
        <f t="shared" si="16"/>
        <v>Low Risk</v>
      </c>
    </row>
    <row r="482" spans="1:11" x14ac:dyDescent="0.35">
      <c r="A482">
        <f>Raw_Data!A482</f>
        <v>481</v>
      </c>
      <c r="B482">
        <f>Raw_Data!B482</f>
        <v>36</v>
      </c>
      <c r="C482">
        <f>Raw_Data!D482</f>
        <v>24</v>
      </c>
      <c r="D482">
        <f>Raw_Data!F482</f>
        <v>2</v>
      </c>
      <c r="E482">
        <f>Raw_Data!H482</f>
        <v>0</v>
      </c>
      <c r="F482">
        <f>Raw_Data!G482</f>
        <v>0</v>
      </c>
      <c r="G482">
        <f>Raw_Data!E482</f>
        <v>23824.17</v>
      </c>
      <c r="H482">
        <f>Raw_Data!I482</f>
        <v>46909.17</v>
      </c>
      <c r="I482">
        <f>Raw_Data!J482</f>
        <v>0</v>
      </c>
      <c r="J482">
        <f t="shared" si="15"/>
        <v>2</v>
      </c>
      <c r="K482" t="str">
        <f t="shared" si="16"/>
        <v>Low Risk</v>
      </c>
    </row>
    <row r="483" spans="1:11" x14ac:dyDescent="0.35">
      <c r="A483">
        <f>Raw_Data!A483</f>
        <v>482</v>
      </c>
      <c r="B483">
        <f>Raw_Data!B483</f>
        <v>34</v>
      </c>
      <c r="C483">
        <f>Raw_Data!D483</f>
        <v>19</v>
      </c>
      <c r="D483">
        <f>Raw_Data!F483</f>
        <v>1</v>
      </c>
      <c r="E483">
        <f>Raw_Data!H483</f>
        <v>0</v>
      </c>
      <c r="F483">
        <f>Raw_Data!G483</f>
        <v>0</v>
      </c>
      <c r="G483">
        <f>Raw_Data!E483</f>
        <v>49806.15</v>
      </c>
      <c r="H483">
        <f>Raw_Data!I483</f>
        <v>130682.75</v>
      </c>
      <c r="I483">
        <f>Raw_Data!J483</f>
        <v>0</v>
      </c>
      <c r="J483">
        <f t="shared" si="15"/>
        <v>3</v>
      </c>
      <c r="K483" t="str">
        <f t="shared" si="16"/>
        <v>Medium Risk</v>
      </c>
    </row>
    <row r="484" spans="1:11" x14ac:dyDescent="0.35">
      <c r="A484">
        <f>Raw_Data!A484</f>
        <v>483</v>
      </c>
      <c r="B484">
        <f>Raw_Data!B484</f>
        <v>36</v>
      </c>
      <c r="C484">
        <f>Raw_Data!D484</f>
        <v>60</v>
      </c>
      <c r="D484">
        <f>Raw_Data!F484</f>
        <v>3</v>
      </c>
      <c r="E484">
        <f>Raw_Data!H484</f>
        <v>0</v>
      </c>
      <c r="F484">
        <f>Raw_Data!G484</f>
        <v>1</v>
      </c>
      <c r="G484">
        <f>Raw_Data!E484</f>
        <v>2973.58</v>
      </c>
      <c r="H484">
        <f>Raw_Data!I484</f>
        <v>30954.37</v>
      </c>
      <c r="I484">
        <f>Raw_Data!J484</f>
        <v>0</v>
      </c>
      <c r="J484">
        <f t="shared" si="15"/>
        <v>2</v>
      </c>
      <c r="K484" t="str">
        <f t="shared" si="16"/>
        <v>Low Risk</v>
      </c>
    </row>
    <row r="485" spans="1:11" x14ac:dyDescent="0.35">
      <c r="A485">
        <f>Raw_Data!A485</f>
        <v>484</v>
      </c>
      <c r="B485">
        <f>Raw_Data!B485</f>
        <v>45</v>
      </c>
      <c r="C485">
        <f>Raw_Data!D485</f>
        <v>39</v>
      </c>
      <c r="D485">
        <f>Raw_Data!F485</f>
        <v>1</v>
      </c>
      <c r="E485">
        <f>Raw_Data!H485</f>
        <v>1</v>
      </c>
      <c r="F485">
        <f>Raw_Data!G485</f>
        <v>1</v>
      </c>
      <c r="G485">
        <f>Raw_Data!E485</f>
        <v>158.38999999999999</v>
      </c>
      <c r="H485">
        <f>Raw_Data!I485</f>
        <v>66292.100000000006</v>
      </c>
      <c r="I485">
        <f>Raw_Data!J485</f>
        <v>0</v>
      </c>
      <c r="J485">
        <f t="shared" si="15"/>
        <v>0</v>
      </c>
      <c r="K485" t="str">
        <f t="shared" si="16"/>
        <v>Low Risk</v>
      </c>
    </row>
    <row r="486" spans="1:11" x14ac:dyDescent="0.35">
      <c r="A486">
        <f>Raw_Data!A486</f>
        <v>485</v>
      </c>
      <c r="B486">
        <f>Raw_Data!B486</f>
        <v>43</v>
      </c>
      <c r="C486">
        <f>Raw_Data!D486</f>
        <v>18</v>
      </c>
      <c r="D486">
        <f>Raw_Data!F486</f>
        <v>3</v>
      </c>
      <c r="E486">
        <f>Raw_Data!H486</f>
        <v>1</v>
      </c>
      <c r="F486">
        <f>Raw_Data!G486</f>
        <v>1</v>
      </c>
      <c r="G486">
        <f>Raw_Data!E486</f>
        <v>32009.919999999998</v>
      </c>
      <c r="H486">
        <f>Raw_Data!I486</f>
        <v>108449.97</v>
      </c>
      <c r="I486">
        <f>Raw_Data!J486</f>
        <v>0</v>
      </c>
      <c r="J486">
        <f t="shared" si="15"/>
        <v>0</v>
      </c>
      <c r="K486" t="str">
        <f t="shared" si="16"/>
        <v>Low Risk</v>
      </c>
    </row>
    <row r="487" spans="1:11" x14ac:dyDescent="0.35">
      <c r="A487">
        <f>Raw_Data!A487</f>
        <v>486</v>
      </c>
      <c r="B487">
        <f>Raw_Data!B487</f>
        <v>54</v>
      </c>
      <c r="C487">
        <f>Raw_Data!D487</f>
        <v>19</v>
      </c>
      <c r="D487">
        <f>Raw_Data!F487</f>
        <v>1</v>
      </c>
      <c r="E487">
        <f>Raw_Data!H487</f>
        <v>1</v>
      </c>
      <c r="F487">
        <f>Raw_Data!G487</f>
        <v>1</v>
      </c>
      <c r="G487">
        <f>Raw_Data!E487</f>
        <v>14921.75</v>
      </c>
      <c r="H487">
        <f>Raw_Data!I487</f>
        <v>55635.65</v>
      </c>
      <c r="I487">
        <f>Raw_Data!J487</f>
        <v>0</v>
      </c>
      <c r="J487">
        <f t="shared" si="15"/>
        <v>0</v>
      </c>
      <c r="K487" t="str">
        <f t="shared" si="16"/>
        <v>Low Risk</v>
      </c>
    </row>
    <row r="488" spans="1:11" x14ac:dyDescent="0.35">
      <c r="A488">
        <f>Raw_Data!A488</f>
        <v>487</v>
      </c>
      <c r="B488">
        <f>Raw_Data!B488</f>
        <v>43</v>
      </c>
      <c r="C488">
        <f>Raw_Data!D488</f>
        <v>36</v>
      </c>
      <c r="D488">
        <f>Raw_Data!F488</f>
        <v>3</v>
      </c>
      <c r="E488">
        <f>Raw_Data!H488</f>
        <v>1</v>
      </c>
      <c r="F488">
        <f>Raw_Data!G488</f>
        <v>0</v>
      </c>
      <c r="G488">
        <f>Raw_Data!E488</f>
        <v>12019.12</v>
      </c>
      <c r="H488">
        <f>Raw_Data!I488</f>
        <v>127597.78</v>
      </c>
      <c r="I488">
        <f>Raw_Data!J488</f>
        <v>0</v>
      </c>
      <c r="J488">
        <f t="shared" si="15"/>
        <v>0</v>
      </c>
      <c r="K488" t="str">
        <f t="shared" si="16"/>
        <v>Low Risk</v>
      </c>
    </row>
    <row r="489" spans="1:11" x14ac:dyDescent="0.35">
      <c r="A489">
        <f>Raw_Data!A489</f>
        <v>488</v>
      </c>
      <c r="B489">
        <f>Raw_Data!B489</f>
        <v>40</v>
      </c>
      <c r="C489">
        <f>Raw_Data!D489</f>
        <v>55</v>
      </c>
      <c r="D489">
        <f>Raw_Data!F489</f>
        <v>3</v>
      </c>
      <c r="E489">
        <f>Raw_Data!H489</f>
        <v>1</v>
      </c>
      <c r="F489">
        <f>Raw_Data!G489</f>
        <v>1</v>
      </c>
      <c r="G489">
        <f>Raw_Data!E489</f>
        <v>15594.95</v>
      </c>
      <c r="H489">
        <f>Raw_Data!I489</f>
        <v>116182.82</v>
      </c>
      <c r="I489">
        <f>Raw_Data!J489</f>
        <v>0</v>
      </c>
      <c r="J489">
        <f t="shared" si="15"/>
        <v>0</v>
      </c>
      <c r="K489" t="str">
        <f t="shared" si="16"/>
        <v>Low Risk</v>
      </c>
    </row>
    <row r="490" spans="1:11" x14ac:dyDescent="0.35">
      <c r="A490">
        <f>Raw_Data!A490</f>
        <v>489</v>
      </c>
      <c r="B490">
        <f>Raw_Data!B490</f>
        <v>26</v>
      </c>
      <c r="C490">
        <f>Raw_Data!D490</f>
        <v>69</v>
      </c>
      <c r="D490">
        <f>Raw_Data!F490</f>
        <v>1</v>
      </c>
      <c r="E490">
        <f>Raw_Data!H490</f>
        <v>1</v>
      </c>
      <c r="F490">
        <f>Raw_Data!G490</f>
        <v>0</v>
      </c>
      <c r="G490">
        <f>Raw_Data!E490</f>
        <v>12802.38</v>
      </c>
      <c r="H490">
        <f>Raw_Data!I490</f>
        <v>122572.97</v>
      </c>
      <c r="I490">
        <f>Raw_Data!J490</f>
        <v>0</v>
      </c>
      <c r="J490">
        <f t="shared" si="15"/>
        <v>0</v>
      </c>
      <c r="K490" t="str">
        <f t="shared" si="16"/>
        <v>Low Risk</v>
      </c>
    </row>
    <row r="491" spans="1:11" x14ac:dyDescent="0.35">
      <c r="A491">
        <f>Raw_Data!A491</f>
        <v>490</v>
      </c>
      <c r="B491">
        <f>Raw_Data!B491</f>
        <v>29</v>
      </c>
      <c r="C491">
        <f>Raw_Data!D491</f>
        <v>47</v>
      </c>
      <c r="D491">
        <f>Raw_Data!F491</f>
        <v>1</v>
      </c>
      <c r="E491">
        <f>Raw_Data!H491</f>
        <v>0</v>
      </c>
      <c r="F491">
        <f>Raw_Data!G491</f>
        <v>0</v>
      </c>
      <c r="G491">
        <f>Raw_Data!E491</f>
        <v>1539.5</v>
      </c>
      <c r="H491">
        <f>Raw_Data!I491</f>
        <v>35483.85</v>
      </c>
      <c r="I491">
        <f>Raw_Data!J491</f>
        <v>0</v>
      </c>
      <c r="J491">
        <f t="shared" si="15"/>
        <v>2</v>
      </c>
      <c r="K491" t="str">
        <f t="shared" si="16"/>
        <v>Low Risk</v>
      </c>
    </row>
    <row r="492" spans="1:11" x14ac:dyDescent="0.35">
      <c r="A492">
        <f>Raw_Data!A492</f>
        <v>491</v>
      </c>
      <c r="B492">
        <f>Raw_Data!B492</f>
        <v>18</v>
      </c>
      <c r="C492">
        <f>Raw_Data!D492</f>
        <v>49</v>
      </c>
      <c r="D492">
        <f>Raw_Data!F492</f>
        <v>3</v>
      </c>
      <c r="E492">
        <f>Raw_Data!H492</f>
        <v>0</v>
      </c>
      <c r="F492">
        <f>Raw_Data!G492</f>
        <v>1</v>
      </c>
      <c r="G492">
        <f>Raw_Data!E492</f>
        <v>48576.65</v>
      </c>
      <c r="H492">
        <f>Raw_Data!I492</f>
        <v>38271.129999999997</v>
      </c>
      <c r="I492">
        <f>Raw_Data!J492</f>
        <v>0</v>
      </c>
      <c r="J492">
        <f t="shared" si="15"/>
        <v>3</v>
      </c>
      <c r="K492" t="str">
        <f t="shared" si="16"/>
        <v>Medium Risk</v>
      </c>
    </row>
    <row r="493" spans="1:11" x14ac:dyDescent="0.35">
      <c r="A493">
        <f>Raw_Data!A493</f>
        <v>492</v>
      </c>
      <c r="B493">
        <f>Raw_Data!B493</f>
        <v>18</v>
      </c>
      <c r="C493">
        <f>Raw_Data!D493</f>
        <v>33</v>
      </c>
      <c r="D493">
        <f>Raw_Data!F493</f>
        <v>4</v>
      </c>
      <c r="E493">
        <f>Raw_Data!H493</f>
        <v>1</v>
      </c>
      <c r="F493">
        <f>Raw_Data!G493</f>
        <v>0</v>
      </c>
      <c r="G493">
        <f>Raw_Data!E493</f>
        <v>11037.27</v>
      </c>
      <c r="H493">
        <f>Raw_Data!I493</f>
        <v>57241.59</v>
      </c>
      <c r="I493">
        <f>Raw_Data!J493</f>
        <v>0</v>
      </c>
      <c r="J493">
        <f t="shared" si="15"/>
        <v>2</v>
      </c>
      <c r="K493" t="str">
        <f t="shared" si="16"/>
        <v>Low Risk</v>
      </c>
    </row>
    <row r="494" spans="1:11" x14ac:dyDescent="0.35">
      <c r="A494">
        <f>Raw_Data!A494</f>
        <v>493</v>
      </c>
      <c r="B494">
        <f>Raw_Data!B494</f>
        <v>64</v>
      </c>
      <c r="C494">
        <f>Raw_Data!D494</f>
        <v>21</v>
      </c>
      <c r="D494">
        <f>Raw_Data!F494</f>
        <v>2</v>
      </c>
      <c r="E494">
        <f>Raw_Data!H494</f>
        <v>0</v>
      </c>
      <c r="F494">
        <f>Raw_Data!G494</f>
        <v>1</v>
      </c>
      <c r="G494">
        <f>Raw_Data!E494</f>
        <v>36701.49</v>
      </c>
      <c r="H494">
        <f>Raw_Data!I494</f>
        <v>87350.03</v>
      </c>
      <c r="I494">
        <f>Raw_Data!J494</f>
        <v>0</v>
      </c>
      <c r="J494">
        <f t="shared" si="15"/>
        <v>3</v>
      </c>
      <c r="K494" t="str">
        <f t="shared" si="16"/>
        <v>Medium Risk</v>
      </c>
    </row>
    <row r="495" spans="1:11" x14ac:dyDescent="0.35">
      <c r="A495">
        <f>Raw_Data!A495</f>
        <v>494</v>
      </c>
      <c r="B495">
        <f>Raw_Data!B495</f>
        <v>51</v>
      </c>
      <c r="C495">
        <f>Raw_Data!D495</f>
        <v>22</v>
      </c>
      <c r="D495">
        <f>Raw_Data!F495</f>
        <v>4</v>
      </c>
      <c r="E495">
        <f>Raw_Data!H495</f>
        <v>1</v>
      </c>
      <c r="F495">
        <f>Raw_Data!G495</f>
        <v>0</v>
      </c>
      <c r="G495">
        <f>Raw_Data!E495</f>
        <v>38129.82</v>
      </c>
      <c r="H495">
        <f>Raw_Data!I495</f>
        <v>117242.09</v>
      </c>
      <c r="I495">
        <f>Raw_Data!J495</f>
        <v>0</v>
      </c>
      <c r="J495">
        <f t="shared" si="15"/>
        <v>2</v>
      </c>
      <c r="K495" t="str">
        <f t="shared" si="16"/>
        <v>Low Risk</v>
      </c>
    </row>
    <row r="496" spans="1:11" x14ac:dyDescent="0.35">
      <c r="A496">
        <f>Raw_Data!A496</f>
        <v>495</v>
      </c>
      <c r="B496">
        <f>Raw_Data!B496</f>
        <v>49</v>
      </c>
      <c r="C496">
        <f>Raw_Data!D496</f>
        <v>48</v>
      </c>
      <c r="D496">
        <f>Raw_Data!F496</f>
        <v>4</v>
      </c>
      <c r="E496">
        <f>Raw_Data!H496</f>
        <v>0</v>
      </c>
      <c r="F496">
        <f>Raw_Data!G496</f>
        <v>1</v>
      </c>
      <c r="G496">
        <f>Raw_Data!E496</f>
        <v>46462.87</v>
      </c>
      <c r="H496">
        <f>Raw_Data!I496</f>
        <v>128749.02</v>
      </c>
      <c r="I496">
        <f>Raw_Data!J496</f>
        <v>0</v>
      </c>
      <c r="J496">
        <f t="shared" si="15"/>
        <v>5</v>
      </c>
      <c r="K496" t="str">
        <f t="shared" si="16"/>
        <v>High Risk</v>
      </c>
    </row>
    <row r="497" spans="1:11" x14ac:dyDescent="0.35">
      <c r="A497">
        <f>Raw_Data!A497</f>
        <v>496</v>
      </c>
      <c r="B497">
        <f>Raw_Data!B497</f>
        <v>65</v>
      </c>
      <c r="C497">
        <f>Raw_Data!D497</f>
        <v>37</v>
      </c>
      <c r="D497">
        <f>Raw_Data!F497</f>
        <v>1</v>
      </c>
      <c r="E497">
        <f>Raw_Data!H497</f>
        <v>1</v>
      </c>
      <c r="F497">
        <f>Raw_Data!G497</f>
        <v>0</v>
      </c>
      <c r="G497">
        <f>Raw_Data!E497</f>
        <v>1527.47</v>
      </c>
      <c r="H497">
        <f>Raw_Data!I497</f>
        <v>111563.59</v>
      </c>
      <c r="I497">
        <f>Raw_Data!J497</f>
        <v>0</v>
      </c>
      <c r="J497">
        <f t="shared" si="15"/>
        <v>1</v>
      </c>
      <c r="K497" t="str">
        <f t="shared" si="16"/>
        <v>Low Risk</v>
      </c>
    </row>
    <row r="498" spans="1:11" x14ac:dyDescent="0.35">
      <c r="A498">
        <f>Raw_Data!A498</f>
        <v>497</v>
      </c>
      <c r="B498">
        <f>Raw_Data!B498</f>
        <v>42</v>
      </c>
      <c r="C498">
        <f>Raw_Data!D498</f>
        <v>15</v>
      </c>
      <c r="D498">
        <f>Raw_Data!F498</f>
        <v>2</v>
      </c>
      <c r="E498">
        <f>Raw_Data!H498</f>
        <v>0</v>
      </c>
      <c r="F498">
        <f>Raw_Data!G498</f>
        <v>0</v>
      </c>
      <c r="G498">
        <f>Raw_Data!E498</f>
        <v>43602.42</v>
      </c>
      <c r="H498">
        <f>Raw_Data!I498</f>
        <v>140717.59</v>
      </c>
      <c r="I498">
        <f>Raw_Data!J498</f>
        <v>0</v>
      </c>
      <c r="J498">
        <f t="shared" si="15"/>
        <v>3</v>
      </c>
      <c r="K498" t="str">
        <f t="shared" si="16"/>
        <v>Medium Risk</v>
      </c>
    </row>
    <row r="499" spans="1:11" x14ac:dyDescent="0.35">
      <c r="A499">
        <f>Raw_Data!A499</f>
        <v>498</v>
      </c>
      <c r="B499">
        <f>Raw_Data!B499</f>
        <v>57</v>
      </c>
      <c r="C499">
        <f>Raw_Data!D499</f>
        <v>35</v>
      </c>
      <c r="D499">
        <f>Raw_Data!F499</f>
        <v>4</v>
      </c>
      <c r="E499">
        <f>Raw_Data!H499</f>
        <v>0</v>
      </c>
      <c r="F499">
        <f>Raw_Data!G499</f>
        <v>1</v>
      </c>
      <c r="G499">
        <f>Raw_Data!E499</f>
        <v>26361.31</v>
      </c>
      <c r="H499">
        <f>Raw_Data!I499</f>
        <v>116036.66</v>
      </c>
      <c r="I499">
        <f>Raw_Data!J499</f>
        <v>0</v>
      </c>
      <c r="J499">
        <f t="shared" si="15"/>
        <v>5</v>
      </c>
      <c r="K499" t="str">
        <f t="shared" si="16"/>
        <v>High Risk</v>
      </c>
    </row>
    <row r="500" spans="1:11" x14ac:dyDescent="0.35">
      <c r="A500">
        <f>Raw_Data!A500</f>
        <v>499</v>
      </c>
      <c r="B500">
        <f>Raw_Data!B500</f>
        <v>62</v>
      </c>
      <c r="C500">
        <f>Raw_Data!D500</f>
        <v>71</v>
      </c>
      <c r="D500">
        <f>Raw_Data!F500</f>
        <v>1</v>
      </c>
      <c r="E500">
        <f>Raw_Data!H500</f>
        <v>1</v>
      </c>
      <c r="F500">
        <f>Raw_Data!G500</f>
        <v>1</v>
      </c>
      <c r="G500">
        <f>Raw_Data!E500</f>
        <v>31627.21</v>
      </c>
      <c r="H500">
        <f>Raw_Data!I500</f>
        <v>59814.83</v>
      </c>
      <c r="I500">
        <f>Raw_Data!J500</f>
        <v>0</v>
      </c>
      <c r="J500">
        <f t="shared" si="15"/>
        <v>1</v>
      </c>
      <c r="K500" t="str">
        <f t="shared" si="16"/>
        <v>Low Risk</v>
      </c>
    </row>
    <row r="501" spans="1:11" x14ac:dyDescent="0.35">
      <c r="A501">
        <f>Raw_Data!A501</f>
        <v>500</v>
      </c>
      <c r="B501">
        <f>Raw_Data!B501</f>
        <v>18</v>
      </c>
      <c r="C501">
        <f>Raw_Data!D501</f>
        <v>32</v>
      </c>
      <c r="D501">
        <f>Raw_Data!F501</f>
        <v>4</v>
      </c>
      <c r="E501">
        <f>Raw_Data!H501</f>
        <v>1</v>
      </c>
      <c r="F501">
        <f>Raw_Data!G501</f>
        <v>0</v>
      </c>
      <c r="G501">
        <f>Raw_Data!E501</f>
        <v>32223.51</v>
      </c>
      <c r="H501">
        <f>Raw_Data!I501</f>
        <v>54460.57</v>
      </c>
      <c r="I501">
        <f>Raw_Data!J501</f>
        <v>0</v>
      </c>
      <c r="J501">
        <f t="shared" si="15"/>
        <v>2</v>
      </c>
      <c r="K501" t="str">
        <f t="shared" si="16"/>
        <v>Low Risk</v>
      </c>
    </row>
    <row r="502" spans="1:11" x14ac:dyDescent="0.35">
      <c r="A502">
        <f>Raw_Data!A502</f>
        <v>501</v>
      </c>
      <c r="B502">
        <f>Raw_Data!B502</f>
        <v>33</v>
      </c>
      <c r="C502">
        <f>Raw_Data!D502</f>
        <v>11</v>
      </c>
      <c r="D502">
        <f>Raw_Data!F502</f>
        <v>4</v>
      </c>
      <c r="E502">
        <f>Raw_Data!H502</f>
        <v>0</v>
      </c>
      <c r="F502">
        <f>Raw_Data!G502</f>
        <v>0</v>
      </c>
      <c r="G502">
        <f>Raw_Data!E502</f>
        <v>40989.89</v>
      </c>
      <c r="H502">
        <f>Raw_Data!I502</f>
        <v>110505.02</v>
      </c>
      <c r="I502">
        <f>Raw_Data!J502</f>
        <v>0</v>
      </c>
      <c r="J502">
        <f t="shared" si="15"/>
        <v>7</v>
      </c>
      <c r="K502" t="str">
        <f t="shared" si="16"/>
        <v>High Risk</v>
      </c>
    </row>
    <row r="503" spans="1:11" x14ac:dyDescent="0.35">
      <c r="A503">
        <f>Raw_Data!A503</f>
        <v>502</v>
      </c>
      <c r="B503">
        <f>Raw_Data!B503</f>
        <v>56</v>
      </c>
      <c r="C503">
        <f>Raw_Data!D503</f>
        <v>10</v>
      </c>
      <c r="D503">
        <f>Raw_Data!F503</f>
        <v>1</v>
      </c>
      <c r="E503">
        <f>Raw_Data!H503</f>
        <v>0</v>
      </c>
      <c r="F503">
        <f>Raw_Data!G503</f>
        <v>1</v>
      </c>
      <c r="G503">
        <f>Raw_Data!E503</f>
        <v>16670.37</v>
      </c>
      <c r="H503">
        <f>Raw_Data!I503</f>
        <v>45073.17</v>
      </c>
      <c r="I503">
        <f>Raw_Data!J503</f>
        <v>0</v>
      </c>
      <c r="J503">
        <f t="shared" si="15"/>
        <v>5</v>
      </c>
      <c r="K503" t="str">
        <f t="shared" si="16"/>
        <v>High Risk</v>
      </c>
    </row>
    <row r="504" spans="1:11" x14ac:dyDescent="0.35">
      <c r="A504">
        <f>Raw_Data!A504</f>
        <v>503</v>
      </c>
      <c r="B504">
        <f>Raw_Data!B504</f>
        <v>22</v>
      </c>
      <c r="C504">
        <f>Raw_Data!D504</f>
        <v>57</v>
      </c>
      <c r="D504">
        <f>Raw_Data!F504</f>
        <v>1</v>
      </c>
      <c r="E504">
        <f>Raw_Data!H504</f>
        <v>1</v>
      </c>
      <c r="F504">
        <f>Raw_Data!G504</f>
        <v>0</v>
      </c>
      <c r="G504">
        <f>Raw_Data!E504</f>
        <v>36652.559999999998</v>
      </c>
      <c r="H504">
        <f>Raw_Data!I504</f>
        <v>32052.93</v>
      </c>
      <c r="I504">
        <f>Raw_Data!J504</f>
        <v>0</v>
      </c>
      <c r="J504">
        <f t="shared" si="15"/>
        <v>0</v>
      </c>
      <c r="K504" t="str">
        <f t="shared" si="16"/>
        <v>Low Risk</v>
      </c>
    </row>
    <row r="505" spans="1:11" x14ac:dyDescent="0.35">
      <c r="A505">
        <f>Raw_Data!A505</f>
        <v>504</v>
      </c>
      <c r="B505">
        <f>Raw_Data!B505</f>
        <v>39</v>
      </c>
      <c r="C505">
        <f>Raw_Data!D505</f>
        <v>25</v>
      </c>
      <c r="D505">
        <f>Raw_Data!F505</f>
        <v>1</v>
      </c>
      <c r="E505">
        <f>Raw_Data!H505</f>
        <v>0</v>
      </c>
      <c r="F505">
        <f>Raw_Data!G505</f>
        <v>1</v>
      </c>
      <c r="G505">
        <f>Raw_Data!E505</f>
        <v>26428.91</v>
      </c>
      <c r="H505">
        <f>Raw_Data!I505</f>
        <v>89188.97</v>
      </c>
      <c r="I505">
        <f>Raw_Data!J505</f>
        <v>0</v>
      </c>
      <c r="J505">
        <f t="shared" si="15"/>
        <v>2</v>
      </c>
      <c r="K505" t="str">
        <f t="shared" si="16"/>
        <v>Low Risk</v>
      </c>
    </row>
    <row r="506" spans="1:11" x14ac:dyDescent="0.35">
      <c r="A506">
        <f>Raw_Data!A506</f>
        <v>505</v>
      </c>
      <c r="B506">
        <f>Raw_Data!B506</f>
        <v>46</v>
      </c>
      <c r="C506">
        <f>Raw_Data!D506</f>
        <v>2</v>
      </c>
      <c r="D506">
        <f>Raw_Data!F506</f>
        <v>2</v>
      </c>
      <c r="E506">
        <f>Raw_Data!H506</f>
        <v>1</v>
      </c>
      <c r="F506">
        <f>Raw_Data!G506</f>
        <v>0</v>
      </c>
      <c r="G506">
        <f>Raw_Data!E506</f>
        <v>39669.699999999997</v>
      </c>
      <c r="H506">
        <f>Raw_Data!I506</f>
        <v>126813.4</v>
      </c>
      <c r="I506">
        <f>Raw_Data!J506</f>
        <v>0</v>
      </c>
      <c r="J506">
        <f t="shared" si="15"/>
        <v>2</v>
      </c>
      <c r="K506" t="str">
        <f t="shared" si="16"/>
        <v>Low Risk</v>
      </c>
    </row>
    <row r="507" spans="1:11" x14ac:dyDescent="0.35">
      <c r="A507">
        <f>Raw_Data!A507</f>
        <v>506</v>
      </c>
      <c r="B507">
        <f>Raw_Data!B507</f>
        <v>20</v>
      </c>
      <c r="C507">
        <f>Raw_Data!D507</f>
        <v>64</v>
      </c>
      <c r="D507">
        <f>Raw_Data!F507</f>
        <v>4</v>
      </c>
      <c r="E507">
        <f>Raw_Data!H507</f>
        <v>1</v>
      </c>
      <c r="F507">
        <f>Raw_Data!G507</f>
        <v>1</v>
      </c>
      <c r="G507">
        <f>Raw_Data!E507</f>
        <v>49527.3</v>
      </c>
      <c r="H507">
        <f>Raw_Data!I507</f>
        <v>33179.379999999997</v>
      </c>
      <c r="I507">
        <f>Raw_Data!J507</f>
        <v>0</v>
      </c>
      <c r="J507">
        <f t="shared" si="15"/>
        <v>3</v>
      </c>
      <c r="K507" t="str">
        <f t="shared" si="16"/>
        <v>Medium Risk</v>
      </c>
    </row>
    <row r="508" spans="1:11" x14ac:dyDescent="0.35">
      <c r="A508">
        <f>Raw_Data!A508</f>
        <v>507</v>
      </c>
      <c r="B508">
        <f>Raw_Data!B508</f>
        <v>29</v>
      </c>
      <c r="C508">
        <f>Raw_Data!D508</f>
        <v>35</v>
      </c>
      <c r="D508">
        <f>Raw_Data!F508</f>
        <v>1</v>
      </c>
      <c r="E508">
        <f>Raw_Data!H508</f>
        <v>0</v>
      </c>
      <c r="F508">
        <f>Raw_Data!G508</f>
        <v>0</v>
      </c>
      <c r="G508">
        <f>Raw_Data!E508</f>
        <v>10032.549999999999</v>
      </c>
      <c r="H508">
        <f>Raw_Data!I508</f>
        <v>122945.87</v>
      </c>
      <c r="I508">
        <f>Raw_Data!J508</f>
        <v>0</v>
      </c>
      <c r="J508">
        <f t="shared" si="15"/>
        <v>2</v>
      </c>
      <c r="K508" t="str">
        <f t="shared" si="16"/>
        <v>Low Risk</v>
      </c>
    </row>
    <row r="509" spans="1:11" x14ac:dyDescent="0.35">
      <c r="A509">
        <f>Raw_Data!A509</f>
        <v>508</v>
      </c>
      <c r="B509">
        <f>Raw_Data!B509</f>
        <v>43</v>
      </c>
      <c r="C509">
        <f>Raw_Data!D509</f>
        <v>7</v>
      </c>
      <c r="D509">
        <f>Raw_Data!F509</f>
        <v>3</v>
      </c>
      <c r="E509">
        <f>Raw_Data!H509</f>
        <v>1</v>
      </c>
      <c r="F509">
        <f>Raw_Data!G509</f>
        <v>1</v>
      </c>
      <c r="G509">
        <f>Raw_Data!E509</f>
        <v>49732.43</v>
      </c>
      <c r="H509">
        <f>Raw_Data!I509</f>
        <v>125504.36</v>
      </c>
      <c r="I509">
        <f>Raw_Data!J509</f>
        <v>0</v>
      </c>
      <c r="J509">
        <f t="shared" si="15"/>
        <v>3</v>
      </c>
      <c r="K509" t="str">
        <f t="shared" si="16"/>
        <v>Medium Risk</v>
      </c>
    </row>
    <row r="510" spans="1:11" x14ac:dyDescent="0.35">
      <c r="A510">
        <f>Raw_Data!A510</f>
        <v>509</v>
      </c>
      <c r="B510">
        <f>Raw_Data!B510</f>
        <v>33</v>
      </c>
      <c r="C510">
        <f>Raw_Data!D510</f>
        <v>18</v>
      </c>
      <c r="D510">
        <f>Raw_Data!F510</f>
        <v>4</v>
      </c>
      <c r="E510">
        <f>Raw_Data!H510</f>
        <v>0</v>
      </c>
      <c r="F510">
        <f>Raw_Data!G510</f>
        <v>1</v>
      </c>
      <c r="G510">
        <f>Raw_Data!E510</f>
        <v>4490.6099999999997</v>
      </c>
      <c r="H510">
        <f>Raw_Data!I510</f>
        <v>82695.62</v>
      </c>
      <c r="I510">
        <f>Raw_Data!J510</f>
        <v>0</v>
      </c>
      <c r="J510">
        <f t="shared" si="15"/>
        <v>4</v>
      </c>
      <c r="K510" t="str">
        <f t="shared" si="16"/>
        <v>Medium Risk</v>
      </c>
    </row>
    <row r="511" spans="1:11" x14ac:dyDescent="0.35">
      <c r="A511">
        <f>Raw_Data!A511</f>
        <v>510</v>
      </c>
      <c r="B511">
        <f>Raw_Data!B511</f>
        <v>68</v>
      </c>
      <c r="C511">
        <f>Raw_Data!D511</f>
        <v>67</v>
      </c>
      <c r="D511">
        <f>Raw_Data!F511</f>
        <v>3</v>
      </c>
      <c r="E511">
        <f>Raw_Data!H511</f>
        <v>0</v>
      </c>
      <c r="F511">
        <f>Raw_Data!G511</f>
        <v>0</v>
      </c>
      <c r="G511">
        <f>Raw_Data!E511</f>
        <v>115.88</v>
      </c>
      <c r="H511">
        <f>Raw_Data!I511</f>
        <v>27450.34</v>
      </c>
      <c r="I511">
        <f>Raw_Data!J511</f>
        <v>0</v>
      </c>
      <c r="J511">
        <f t="shared" si="15"/>
        <v>3</v>
      </c>
      <c r="K511" t="str">
        <f t="shared" si="16"/>
        <v>Medium Risk</v>
      </c>
    </row>
    <row r="512" spans="1:11" x14ac:dyDescent="0.35">
      <c r="A512">
        <f>Raw_Data!A512</f>
        <v>511</v>
      </c>
      <c r="B512">
        <f>Raw_Data!B512</f>
        <v>54</v>
      </c>
      <c r="C512">
        <f>Raw_Data!D512</f>
        <v>42</v>
      </c>
      <c r="D512">
        <f>Raw_Data!F512</f>
        <v>2</v>
      </c>
      <c r="E512">
        <f>Raw_Data!H512</f>
        <v>1</v>
      </c>
      <c r="F512">
        <f>Raw_Data!G512</f>
        <v>1</v>
      </c>
      <c r="G512">
        <f>Raw_Data!E512</f>
        <v>2208.1</v>
      </c>
      <c r="H512">
        <f>Raw_Data!I512</f>
        <v>42696.68</v>
      </c>
      <c r="I512">
        <f>Raw_Data!J512</f>
        <v>0</v>
      </c>
      <c r="J512">
        <f t="shared" si="15"/>
        <v>0</v>
      </c>
      <c r="K512" t="str">
        <f t="shared" si="16"/>
        <v>Low Risk</v>
      </c>
    </row>
    <row r="513" spans="1:11" x14ac:dyDescent="0.35">
      <c r="A513">
        <f>Raw_Data!A513</f>
        <v>512</v>
      </c>
      <c r="B513">
        <f>Raw_Data!B513</f>
        <v>39</v>
      </c>
      <c r="C513">
        <f>Raw_Data!D513</f>
        <v>39</v>
      </c>
      <c r="D513">
        <f>Raw_Data!F513</f>
        <v>1</v>
      </c>
      <c r="E513">
        <f>Raw_Data!H513</f>
        <v>0</v>
      </c>
      <c r="F513">
        <f>Raw_Data!G513</f>
        <v>0</v>
      </c>
      <c r="G513">
        <f>Raw_Data!E513</f>
        <v>17089.12</v>
      </c>
      <c r="H513">
        <f>Raw_Data!I513</f>
        <v>111965.42</v>
      </c>
      <c r="I513">
        <f>Raw_Data!J513</f>
        <v>0</v>
      </c>
      <c r="J513">
        <f t="shared" si="15"/>
        <v>2</v>
      </c>
      <c r="K513" t="str">
        <f t="shared" si="16"/>
        <v>Low Risk</v>
      </c>
    </row>
    <row r="514" spans="1:11" x14ac:dyDescent="0.35">
      <c r="A514">
        <f>Raw_Data!A514</f>
        <v>513</v>
      </c>
      <c r="B514">
        <f>Raw_Data!B514</f>
        <v>46</v>
      </c>
      <c r="C514">
        <f>Raw_Data!D514</f>
        <v>41</v>
      </c>
      <c r="D514">
        <f>Raw_Data!F514</f>
        <v>3</v>
      </c>
      <c r="E514">
        <f>Raw_Data!H514</f>
        <v>1</v>
      </c>
      <c r="F514">
        <f>Raw_Data!G514</f>
        <v>1</v>
      </c>
      <c r="G514">
        <f>Raw_Data!E514</f>
        <v>31645.32</v>
      </c>
      <c r="H514">
        <f>Raw_Data!I514</f>
        <v>112531.13</v>
      </c>
      <c r="I514">
        <f>Raw_Data!J514</f>
        <v>0</v>
      </c>
      <c r="J514">
        <f t="shared" si="15"/>
        <v>0</v>
      </c>
      <c r="K514" t="str">
        <f t="shared" si="16"/>
        <v>Low Risk</v>
      </c>
    </row>
    <row r="515" spans="1:11" x14ac:dyDescent="0.35">
      <c r="A515">
        <f>Raw_Data!A515</f>
        <v>514</v>
      </c>
      <c r="B515">
        <f>Raw_Data!B515</f>
        <v>31</v>
      </c>
      <c r="C515">
        <f>Raw_Data!D515</f>
        <v>24</v>
      </c>
      <c r="D515">
        <f>Raw_Data!F515</f>
        <v>2</v>
      </c>
      <c r="E515">
        <f>Raw_Data!H515</f>
        <v>1</v>
      </c>
      <c r="F515">
        <f>Raw_Data!G515</f>
        <v>1</v>
      </c>
      <c r="G515">
        <f>Raw_Data!E515</f>
        <v>3451.48</v>
      </c>
      <c r="H515">
        <f>Raw_Data!I515</f>
        <v>136786.19</v>
      </c>
      <c r="I515">
        <f>Raw_Data!J515</f>
        <v>0</v>
      </c>
      <c r="J515">
        <f t="shared" ref="J515:J578" si="17">IF(E515=0,2,0)+IF(D515=4,2,0)+IF(C515&lt;=12,2,0)+IF(B515&gt;=56,1,0)+IF(G515&gt;=40000,1,0)</f>
        <v>0</v>
      </c>
      <c r="K515" t="str">
        <f t="shared" ref="K515:K578" si="18">IF(J515&gt;=5,"High Risk",IF(J515&gt;=3,"Medium Risk","Low Risk"))</f>
        <v>Low Risk</v>
      </c>
    </row>
    <row r="516" spans="1:11" x14ac:dyDescent="0.35">
      <c r="A516">
        <f>Raw_Data!A516</f>
        <v>515</v>
      </c>
      <c r="B516">
        <f>Raw_Data!B516</f>
        <v>45</v>
      </c>
      <c r="C516">
        <f>Raw_Data!D516</f>
        <v>60</v>
      </c>
      <c r="D516">
        <f>Raw_Data!F516</f>
        <v>1</v>
      </c>
      <c r="E516">
        <f>Raw_Data!H516</f>
        <v>1</v>
      </c>
      <c r="F516">
        <f>Raw_Data!G516</f>
        <v>1</v>
      </c>
      <c r="G516">
        <f>Raw_Data!E516</f>
        <v>283.29000000000002</v>
      </c>
      <c r="H516">
        <f>Raw_Data!I516</f>
        <v>95749.2</v>
      </c>
      <c r="I516">
        <f>Raw_Data!J516</f>
        <v>0</v>
      </c>
      <c r="J516">
        <f t="shared" si="17"/>
        <v>0</v>
      </c>
      <c r="K516" t="str">
        <f t="shared" si="18"/>
        <v>Low Risk</v>
      </c>
    </row>
    <row r="517" spans="1:11" x14ac:dyDescent="0.35">
      <c r="A517">
        <f>Raw_Data!A517</f>
        <v>516</v>
      </c>
      <c r="B517">
        <f>Raw_Data!B517</f>
        <v>22</v>
      </c>
      <c r="C517">
        <f>Raw_Data!D517</f>
        <v>46</v>
      </c>
      <c r="D517">
        <f>Raw_Data!F517</f>
        <v>3</v>
      </c>
      <c r="E517">
        <f>Raw_Data!H517</f>
        <v>0</v>
      </c>
      <c r="F517">
        <f>Raw_Data!G517</f>
        <v>0</v>
      </c>
      <c r="G517">
        <f>Raw_Data!E517</f>
        <v>46854.55</v>
      </c>
      <c r="H517">
        <f>Raw_Data!I517</f>
        <v>36133.96</v>
      </c>
      <c r="I517">
        <f>Raw_Data!J517</f>
        <v>0</v>
      </c>
      <c r="J517">
        <f t="shared" si="17"/>
        <v>3</v>
      </c>
      <c r="K517" t="str">
        <f t="shared" si="18"/>
        <v>Medium Risk</v>
      </c>
    </row>
    <row r="518" spans="1:11" x14ac:dyDescent="0.35">
      <c r="A518">
        <f>Raw_Data!A518</f>
        <v>517</v>
      </c>
      <c r="B518">
        <f>Raw_Data!B518</f>
        <v>64</v>
      </c>
      <c r="C518">
        <f>Raw_Data!D518</f>
        <v>19</v>
      </c>
      <c r="D518">
        <f>Raw_Data!F518</f>
        <v>3</v>
      </c>
      <c r="E518">
        <f>Raw_Data!H518</f>
        <v>1</v>
      </c>
      <c r="F518">
        <f>Raw_Data!G518</f>
        <v>1</v>
      </c>
      <c r="G518">
        <f>Raw_Data!E518</f>
        <v>41096.33</v>
      </c>
      <c r="H518">
        <f>Raw_Data!I518</f>
        <v>35783.94</v>
      </c>
      <c r="I518">
        <f>Raw_Data!J518</f>
        <v>0</v>
      </c>
      <c r="J518">
        <f t="shared" si="17"/>
        <v>2</v>
      </c>
      <c r="K518" t="str">
        <f t="shared" si="18"/>
        <v>Low Risk</v>
      </c>
    </row>
    <row r="519" spans="1:11" x14ac:dyDescent="0.35">
      <c r="A519">
        <f>Raw_Data!A519</f>
        <v>518</v>
      </c>
      <c r="B519">
        <f>Raw_Data!B519</f>
        <v>66</v>
      </c>
      <c r="C519">
        <f>Raw_Data!D519</f>
        <v>68</v>
      </c>
      <c r="D519">
        <f>Raw_Data!F519</f>
        <v>2</v>
      </c>
      <c r="E519">
        <f>Raw_Data!H519</f>
        <v>0</v>
      </c>
      <c r="F519">
        <f>Raw_Data!G519</f>
        <v>0</v>
      </c>
      <c r="G519">
        <f>Raw_Data!E519</f>
        <v>40459.160000000003</v>
      </c>
      <c r="H519">
        <f>Raw_Data!I519</f>
        <v>113747.21</v>
      </c>
      <c r="I519">
        <f>Raw_Data!J519</f>
        <v>0</v>
      </c>
      <c r="J519">
        <f t="shared" si="17"/>
        <v>4</v>
      </c>
      <c r="K519" t="str">
        <f t="shared" si="18"/>
        <v>Medium Risk</v>
      </c>
    </row>
    <row r="520" spans="1:11" x14ac:dyDescent="0.35">
      <c r="A520">
        <f>Raw_Data!A520</f>
        <v>519</v>
      </c>
      <c r="B520">
        <f>Raw_Data!B520</f>
        <v>47</v>
      </c>
      <c r="C520">
        <f>Raw_Data!D520</f>
        <v>42</v>
      </c>
      <c r="D520">
        <f>Raw_Data!F520</f>
        <v>1</v>
      </c>
      <c r="E520">
        <f>Raw_Data!H520</f>
        <v>1</v>
      </c>
      <c r="F520">
        <f>Raw_Data!G520</f>
        <v>1</v>
      </c>
      <c r="G520">
        <f>Raw_Data!E520</f>
        <v>44221.21</v>
      </c>
      <c r="H520">
        <f>Raw_Data!I520</f>
        <v>43892.01</v>
      </c>
      <c r="I520">
        <f>Raw_Data!J520</f>
        <v>0</v>
      </c>
      <c r="J520">
        <f t="shared" si="17"/>
        <v>1</v>
      </c>
      <c r="K520" t="str">
        <f t="shared" si="18"/>
        <v>Low Risk</v>
      </c>
    </row>
    <row r="521" spans="1:11" x14ac:dyDescent="0.35">
      <c r="A521">
        <f>Raw_Data!A521</f>
        <v>520</v>
      </c>
      <c r="B521">
        <f>Raw_Data!B521</f>
        <v>63</v>
      </c>
      <c r="C521">
        <f>Raw_Data!D521</f>
        <v>32</v>
      </c>
      <c r="D521">
        <f>Raw_Data!F521</f>
        <v>1</v>
      </c>
      <c r="E521">
        <f>Raw_Data!H521</f>
        <v>1</v>
      </c>
      <c r="F521">
        <f>Raw_Data!G521</f>
        <v>0</v>
      </c>
      <c r="G521">
        <f>Raw_Data!E521</f>
        <v>35001.71</v>
      </c>
      <c r="H521">
        <f>Raw_Data!I521</f>
        <v>62690.11</v>
      </c>
      <c r="I521">
        <f>Raw_Data!J521</f>
        <v>0</v>
      </c>
      <c r="J521">
        <f t="shared" si="17"/>
        <v>1</v>
      </c>
      <c r="K521" t="str">
        <f t="shared" si="18"/>
        <v>Low Risk</v>
      </c>
    </row>
    <row r="522" spans="1:11" x14ac:dyDescent="0.35">
      <c r="A522">
        <f>Raw_Data!A522</f>
        <v>521</v>
      </c>
      <c r="B522">
        <f>Raw_Data!B522</f>
        <v>69</v>
      </c>
      <c r="C522">
        <f>Raw_Data!D522</f>
        <v>39</v>
      </c>
      <c r="D522">
        <f>Raw_Data!F522</f>
        <v>3</v>
      </c>
      <c r="E522">
        <f>Raw_Data!H522</f>
        <v>1</v>
      </c>
      <c r="F522">
        <f>Raw_Data!G522</f>
        <v>0</v>
      </c>
      <c r="G522">
        <f>Raw_Data!E522</f>
        <v>5220.21</v>
      </c>
      <c r="H522">
        <f>Raw_Data!I522</f>
        <v>83337.56</v>
      </c>
      <c r="I522">
        <f>Raw_Data!J522</f>
        <v>0</v>
      </c>
      <c r="J522">
        <f t="shared" si="17"/>
        <v>1</v>
      </c>
      <c r="K522" t="str">
        <f t="shared" si="18"/>
        <v>Low Risk</v>
      </c>
    </row>
    <row r="523" spans="1:11" x14ac:dyDescent="0.35">
      <c r="A523">
        <f>Raw_Data!A523</f>
        <v>522</v>
      </c>
      <c r="B523">
        <f>Raw_Data!B523</f>
        <v>22</v>
      </c>
      <c r="C523">
        <f>Raw_Data!D523</f>
        <v>36</v>
      </c>
      <c r="D523">
        <f>Raw_Data!F523</f>
        <v>3</v>
      </c>
      <c r="E523">
        <f>Raw_Data!H523</f>
        <v>0</v>
      </c>
      <c r="F523">
        <f>Raw_Data!G523</f>
        <v>0</v>
      </c>
      <c r="G523">
        <f>Raw_Data!E523</f>
        <v>19955.009999999998</v>
      </c>
      <c r="H523">
        <f>Raw_Data!I523</f>
        <v>23219.43</v>
      </c>
      <c r="I523">
        <f>Raw_Data!J523</f>
        <v>0</v>
      </c>
      <c r="J523">
        <f t="shared" si="17"/>
        <v>2</v>
      </c>
      <c r="K523" t="str">
        <f t="shared" si="18"/>
        <v>Low Risk</v>
      </c>
    </row>
    <row r="524" spans="1:11" x14ac:dyDescent="0.35">
      <c r="A524">
        <f>Raw_Data!A524</f>
        <v>523</v>
      </c>
      <c r="B524">
        <f>Raw_Data!B524</f>
        <v>29</v>
      </c>
      <c r="C524">
        <f>Raw_Data!D524</f>
        <v>36</v>
      </c>
      <c r="D524">
        <f>Raw_Data!F524</f>
        <v>3</v>
      </c>
      <c r="E524">
        <f>Raw_Data!H524</f>
        <v>0</v>
      </c>
      <c r="F524">
        <f>Raw_Data!G524</f>
        <v>1</v>
      </c>
      <c r="G524">
        <f>Raw_Data!E524</f>
        <v>36157.47</v>
      </c>
      <c r="H524">
        <f>Raw_Data!I524</f>
        <v>52346.47</v>
      </c>
      <c r="I524">
        <f>Raw_Data!J524</f>
        <v>0</v>
      </c>
      <c r="J524">
        <f t="shared" si="17"/>
        <v>2</v>
      </c>
      <c r="K524" t="str">
        <f t="shared" si="18"/>
        <v>Low Risk</v>
      </c>
    </row>
    <row r="525" spans="1:11" x14ac:dyDescent="0.35">
      <c r="A525">
        <f>Raw_Data!A525</f>
        <v>524</v>
      </c>
      <c r="B525">
        <f>Raw_Data!B525</f>
        <v>33</v>
      </c>
      <c r="C525">
        <f>Raw_Data!D525</f>
        <v>3</v>
      </c>
      <c r="D525">
        <f>Raw_Data!F525</f>
        <v>1</v>
      </c>
      <c r="E525">
        <f>Raw_Data!H525</f>
        <v>1</v>
      </c>
      <c r="F525">
        <f>Raw_Data!G525</f>
        <v>0</v>
      </c>
      <c r="G525">
        <f>Raw_Data!E525</f>
        <v>14016.72</v>
      </c>
      <c r="H525">
        <f>Raw_Data!I525</f>
        <v>73025.649999999994</v>
      </c>
      <c r="I525">
        <f>Raw_Data!J525</f>
        <v>0</v>
      </c>
      <c r="J525">
        <f t="shared" si="17"/>
        <v>2</v>
      </c>
      <c r="K525" t="str">
        <f t="shared" si="18"/>
        <v>Low Risk</v>
      </c>
    </row>
    <row r="526" spans="1:11" x14ac:dyDescent="0.35">
      <c r="A526">
        <f>Raw_Data!A526</f>
        <v>525</v>
      </c>
      <c r="B526">
        <f>Raw_Data!B526</f>
        <v>43</v>
      </c>
      <c r="C526">
        <f>Raw_Data!D526</f>
        <v>8</v>
      </c>
      <c r="D526">
        <f>Raw_Data!F526</f>
        <v>2</v>
      </c>
      <c r="E526">
        <f>Raw_Data!H526</f>
        <v>1</v>
      </c>
      <c r="F526">
        <f>Raw_Data!G526</f>
        <v>1</v>
      </c>
      <c r="G526">
        <f>Raw_Data!E526</f>
        <v>34370.32</v>
      </c>
      <c r="H526">
        <f>Raw_Data!I526</f>
        <v>56352.72</v>
      </c>
      <c r="I526">
        <f>Raw_Data!J526</f>
        <v>0</v>
      </c>
      <c r="J526">
        <f t="shared" si="17"/>
        <v>2</v>
      </c>
      <c r="K526" t="str">
        <f t="shared" si="18"/>
        <v>Low Risk</v>
      </c>
    </row>
    <row r="527" spans="1:11" x14ac:dyDescent="0.35">
      <c r="A527">
        <f>Raw_Data!A527</f>
        <v>526</v>
      </c>
      <c r="B527">
        <f>Raw_Data!B527</f>
        <v>43</v>
      </c>
      <c r="C527">
        <f>Raw_Data!D527</f>
        <v>70</v>
      </c>
      <c r="D527">
        <f>Raw_Data!F527</f>
        <v>2</v>
      </c>
      <c r="E527">
        <f>Raw_Data!H527</f>
        <v>0</v>
      </c>
      <c r="F527">
        <f>Raw_Data!G527</f>
        <v>0</v>
      </c>
      <c r="G527">
        <f>Raw_Data!E527</f>
        <v>1224.92</v>
      </c>
      <c r="H527">
        <f>Raw_Data!I527</f>
        <v>37728.14</v>
      </c>
      <c r="I527">
        <f>Raw_Data!J527</f>
        <v>0</v>
      </c>
      <c r="J527">
        <f t="shared" si="17"/>
        <v>2</v>
      </c>
      <c r="K527" t="str">
        <f t="shared" si="18"/>
        <v>Low Risk</v>
      </c>
    </row>
    <row r="528" spans="1:11" x14ac:dyDescent="0.35">
      <c r="A528">
        <f>Raw_Data!A528</f>
        <v>527</v>
      </c>
      <c r="B528">
        <f>Raw_Data!B528</f>
        <v>65</v>
      </c>
      <c r="C528">
        <f>Raw_Data!D528</f>
        <v>41</v>
      </c>
      <c r="D528">
        <f>Raw_Data!F528</f>
        <v>1</v>
      </c>
      <c r="E528">
        <f>Raw_Data!H528</f>
        <v>0</v>
      </c>
      <c r="F528">
        <f>Raw_Data!G528</f>
        <v>0</v>
      </c>
      <c r="G528">
        <f>Raw_Data!E528</f>
        <v>15306.87</v>
      </c>
      <c r="H528">
        <f>Raw_Data!I528</f>
        <v>114641.59</v>
      </c>
      <c r="I528">
        <f>Raw_Data!J528</f>
        <v>0</v>
      </c>
      <c r="J528">
        <f t="shared" si="17"/>
        <v>3</v>
      </c>
      <c r="K528" t="str">
        <f t="shared" si="18"/>
        <v>Medium Risk</v>
      </c>
    </row>
    <row r="529" spans="1:11" x14ac:dyDescent="0.35">
      <c r="A529">
        <f>Raw_Data!A529</f>
        <v>528</v>
      </c>
      <c r="B529">
        <f>Raw_Data!B529</f>
        <v>38</v>
      </c>
      <c r="C529">
        <f>Raw_Data!D529</f>
        <v>68</v>
      </c>
      <c r="D529">
        <f>Raw_Data!F529</f>
        <v>4</v>
      </c>
      <c r="E529">
        <f>Raw_Data!H529</f>
        <v>0</v>
      </c>
      <c r="F529">
        <f>Raw_Data!G529</f>
        <v>0</v>
      </c>
      <c r="G529">
        <f>Raw_Data!E529</f>
        <v>27456.52</v>
      </c>
      <c r="H529">
        <f>Raw_Data!I529</f>
        <v>125709.2</v>
      </c>
      <c r="I529">
        <f>Raw_Data!J529</f>
        <v>0</v>
      </c>
      <c r="J529">
        <f t="shared" si="17"/>
        <v>4</v>
      </c>
      <c r="K529" t="str">
        <f t="shared" si="18"/>
        <v>Medium Risk</v>
      </c>
    </row>
    <row r="530" spans="1:11" x14ac:dyDescent="0.35">
      <c r="A530">
        <f>Raw_Data!A530</f>
        <v>529</v>
      </c>
      <c r="B530">
        <f>Raw_Data!B530</f>
        <v>56</v>
      </c>
      <c r="C530">
        <f>Raw_Data!D530</f>
        <v>13</v>
      </c>
      <c r="D530">
        <f>Raw_Data!F530</f>
        <v>2</v>
      </c>
      <c r="E530">
        <f>Raw_Data!H530</f>
        <v>1</v>
      </c>
      <c r="F530">
        <f>Raw_Data!G530</f>
        <v>0</v>
      </c>
      <c r="G530">
        <f>Raw_Data!E530</f>
        <v>31604.49</v>
      </c>
      <c r="H530">
        <f>Raw_Data!I530</f>
        <v>53472.27</v>
      </c>
      <c r="I530">
        <f>Raw_Data!J530</f>
        <v>0</v>
      </c>
      <c r="J530">
        <f t="shared" si="17"/>
        <v>1</v>
      </c>
      <c r="K530" t="str">
        <f t="shared" si="18"/>
        <v>Low Risk</v>
      </c>
    </row>
    <row r="531" spans="1:11" x14ac:dyDescent="0.35">
      <c r="A531">
        <f>Raw_Data!A531</f>
        <v>530</v>
      </c>
      <c r="B531">
        <f>Raw_Data!B531</f>
        <v>53</v>
      </c>
      <c r="C531">
        <f>Raw_Data!D531</f>
        <v>49</v>
      </c>
      <c r="D531">
        <f>Raw_Data!F531</f>
        <v>3</v>
      </c>
      <c r="E531">
        <f>Raw_Data!H531</f>
        <v>0</v>
      </c>
      <c r="F531">
        <f>Raw_Data!G531</f>
        <v>1</v>
      </c>
      <c r="G531">
        <f>Raw_Data!E531</f>
        <v>28852.03</v>
      </c>
      <c r="H531">
        <f>Raw_Data!I531</f>
        <v>120674.53</v>
      </c>
      <c r="I531">
        <f>Raw_Data!J531</f>
        <v>0</v>
      </c>
      <c r="J531">
        <f t="shared" si="17"/>
        <v>2</v>
      </c>
      <c r="K531" t="str">
        <f t="shared" si="18"/>
        <v>Low Risk</v>
      </c>
    </row>
    <row r="532" spans="1:11" x14ac:dyDescent="0.35">
      <c r="A532">
        <f>Raw_Data!A532</f>
        <v>531</v>
      </c>
      <c r="B532">
        <f>Raw_Data!B532</f>
        <v>50</v>
      </c>
      <c r="C532">
        <f>Raw_Data!D532</f>
        <v>60</v>
      </c>
      <c r="D532">
        <f>Raw_Data!F532</f>
        <v>4</v>
      </c>
      <c r="E532">
        <f>Raw_Data!H532</f>
        <v>1</v>
      </c>
      <c r="F532">
        <f>Raw_Data!G532</f>
        <v>0</v>
      </c>
      <c r="G532">
        <f>Raw_Data!E532</f>
        <v>34887.81</v>
      </c>
      <c r="H532">
        <f>Raw_Data!I532</f>
        <v>70121.960000000006</v>
      </c>
      <c r="I532">
        <f>Raw_Data!J532</f>
        <v>0</v>
      </c>
      <c r="J532">
        <f t="shared" si="17"/>
        <v>2</v>
      </c>
      <c r="K532" t="str">
        <f t="shared" si="18"/>
        <v>Low Risk</v>
      </c>
    </row>
    <row r="533" spans="1:11" x14ac:dyDescent="0.35">
      <c r="A533">
        <f>Raw_Data!A533</f>
        <v>532</v>
      </c>
      <c r="B533">
        <f>Raw_Data!B533</f>
        <v>47</v>
      </c>
      <c r="C533">
        <f>Raw_Data!D533</f>
        <v>2</v>
      </c>
      <c r="D533">
        <f>Raw_Data!F533</f>
        <v>4</v>
      </c>
      <c r="E533">
        <f>Raw_Data!H533</f>
        <v>0</v>
      </c>
      <c r="F533">
        <f>Raw_Data!G533</f>
        <v>0</v>
      </c>
      <c r="G533">
        <f>Raw_Data!E533</f>
        <v>304.44</v>
      </c>
      <c r="H533">
        <f>Raw_Data!I533</f>
        <v>85869.15</v>
      </c>
      <c r="I533">
        <f>Raw_Data!J533</f>
        <v>1</v>
      </c>
      <c r="J533">
        <f t="shared" si="17"/>
        <v>6</v>
      </c>
      <c r="K533" t="str">
        <f t="shared" si="18"/>
        <v>High Risk</v>
      </c>
    </row>
    <row r="534" spans="1:11" x14ac:dyDescent="0.35">
      <c r="A534">
        <f>Raw_Data!A534</f>
        <v>533</v>
      </c>
      <c r="B534">
        <f>Raw_Data!B534</f>
        <v>54</v>
      </c>
      <c r="C534">
        <f>Raw_Data!D534</f>
        <v>60</v>
      </c>
      <c r="D534">
        <f>Raw_Data!F534</f>
        <v>2</v>
      </c>
      <c r="E534">
        <f>Raw_Data!H534</f>
        <v>1</v>
      </c>
      <c r="F534">
        <f>Raw_Data!G534</f>
        <v>1</v>
      </c>
      <c r="G534">
        <f>Raw_Data!E534</f>
        <v>5047.0600000000004</v>
      </c>
      <c r="H534">
        <f>Raw_Data!I534</f>
        <v>131280.14000000001</v>
      </c>
      <c r="I534">
        <f>Raw_Data!J534</f>
        <v>0</v>
      </c>
      <c r="J534">
        <f t="shared" si="17"/>
        <v>0</v>
      </c>
      <c r="K534" t="str">
        <f t="shared" si="18"/>
        <v>Low Risk</v>
      </c>
    </row>
    <row r="535" spans="1:11" x14ac:dyDescent="0.35">
      <c r="A535">
        <f>Raw_Data!A535</f>
        <v>534</v>
      </c>
      <c r="B535">
        <f>Raw_Data!B535</f>
        <v>40</v>
      </c>
      <c r="C535">
        <f>Raw_Data!D535</f>
        <v>5</v>
      </c>
      <c r="D535">
        <f>Raw_Data!F535</f>
        <v>4</v>
      </c>
      <c r="E535">
        <f>Raw_Data!H535</f>
        <v>1</v>
      </c>
      <c r="F535">
        <f>Raw_Data!G535</f>
        <v>0</v>
      </c>
      <c r="G535">
        <f>Raw_Data!E535</f>
        <v>43447.21</v>
      </c>
      <c r="H535">
        <f>Raw_Data!I535</f>
        <v>117493.98</v>
      </c>
      <c r="I535">
        <f>Raw_Data!J535</f>
        <v>0</v>
      </c>
      <c r="J535">
        <f t="shared" si="17"/>
        <v>5</v>
      </c>
      <c r="K535" t="str">
        <f t="shared" si="18"/>
        <v>High Risk</v>
      </c>
    </row>
    <row r="536" spans="1:11" x14ac:dyDescent="0.35">
      <c r="A536">
        <f>Raw_Data!A536</f>
        <v>535</v>
      </c>
      <c r="B536">
        <f>Raw_Data!B536</f>
        <v>27</v>
      </c>
      <c r="C536">
        <f>Raw_Data!D536</f>
        <v>44</v>
      </c>
      <c r="D536">
        <f>Raw_Data!F536</f>
        <v>4</v>
      </c>
      <c r="E536">
        <f>Raw_Data!H536</f>
        <v>1</v>
      </c>
      <c r="F536">
        <f>Raw_Data!G536</f>
        <v>0</v>
      </c>
      <c r="G536">
        <f>Raw_Data!E536</f>
        <v>34087.43</v>
      </c>
      <c r="H536">
        <f>Raw_Data!I536</f>
        <v>124665.19</v>
      </c>
      <c r="I536">
        <f>Raw_Data!J536</f>
        <v>0</v>
      </c>
      <c r="J536">
        <f t="shared" si="17"/>
        <v>2</v>
      </c>
      <c r="K536" t="str">
        <f t="shared" si="18"/>
        <v>Low Risk</v>
      </c>
    </row>
    <row r="537" spans="1:11" x14ac:dyDescent="0.35">
      <c r="A537">
        <f>Raw_Data!A537</f>
        <v>536</v>
      </c>
      <c r="B537">
        <f>Raw_Data!B537</f>
        <v>22</v>
      </c>
      <c r="C537">
        <f>Raw_Data!D537</f>
        <v>27</v>
      </c>
      <c r="D537">
        <f>Raw_Data!F537</f>
        <v>2</v>
      </c>
      <c r="E537">
        <f>Raw_Data!H537</f>
        <v>0</v>
      </c>
      <c r="F537">
        <f>Raw_Data!G537</f>
        <v>0</v>
      </c>
      <c r="G537">
        <f>Raw_Data!E537</f>
        <v>5646.58</v>
      </c>
      <c r="H537">
        <f>Raw_Data!I537</f>
        <v>37789.870000000003</v>
      </c>
      <c r="I537">
        <f>Raw_Data!J537</f>
        <v>0</v>
      </c>
      <c r="J537">
        <f t="shared" si="17"/>
        <v>2</v>
      </c>
      <c r="K537" t="str">
        <f t="shared" si="18"/>
        <v>Low Risk</v>
      </c>
    </row>
    <row r="538" spans="1:11" x14ac:dyDescent="0.35">
      <c r="A538">
        <f>Raw_Data!A538</f>
        <v>537</v>
      </c>
      <c r="B538">
        <f>Raw_Data!B538</f>
        <v>53</v>
      </c>
      <c r="C538">
        <f>Raw_Data!D538</f>
        <v>32</v>
      </c>
      <c r="D538">
        <f>Raw_Data!F538</f>
        <v>2</v>
      </c>
      <c r="E538">
        <f>Raw_Data!H538</f>
        <v>0</v>
      </c>
      <c r="F538">
        <f>Raw_Data!G538</f>
        <v>0</v>
      </c>
      <c r="G538">
        <f>Raw_Data!E538</f>
        <v>42103.72</v>
      </c>
      <c r="H538">
        <f>Raw_Data!I538</f>
        <v>29063.53</v>
      </c>
      <c r="I538">
        <f>Raw_Data!J538</f>
        <v>0</v>
      </c>
      <c r="J538">
        <f t="shared" si="17"/>
        <v>3</v>
      </c>
      <c r="K538" t="str">
        <f t="shared" si="18"/>
        <v>Medium Risk</v>
      </c>
    </row>
    <row r="539" spans="1:11" x14ac:dyDescent="0.35">
      <c r="A539">
        <f>Raw_Data!A539</f>
        <v>538</v>
      </c>
      <c r="B539">
        <f>Raw_Data!B539</f>
        <v>51</v>
      </c>
      <c r="C539">
        <f>Raw_Data!D539</f>
        <v>21</v>
      </c>
      <c r="D539">
        <f>Raw_Data!F539</f>
        <v>4</v>
      </c>
      <c r="E539">
        <f>Raw_Data!H539</f>
        <v>0</v>
      </c>
      <c r="F539">
        <f>Raw_Data!G539</f>
        <v>1</v>
      </c>
      <c r="G539">
        <f>Raw_Data!E539</f>
        <v>12111.56</v>
      </c>
      <c r="H539">
        <f>Raw_Data!I539</f>
        <v>136142.60999999999</v>
      </c>
      <c r="I539">
        <f>Raw_Data!J539</f>
        <v>0</v>
      </c>
      <c r="J539">
        <f t="shared" si="17"/>
        <v>4</v>
      </c>
      <c r="K539" t="str">
        <f t="shared" si="18"/>
        <v>Medium Risk</v>
      </c>
    </row>
    <row r="540" spans="1:11" x14ac:dyDescent="0.35">
      <c r="A540">
        <f>Raw_Data!A540</f>
        <v>539</v>
      </c>
      <c r="B540">
        <f>Raw_Data!B540</f>
        <v>69</v>
      </c>
      <c r="C540">
        <f>Raw_Data!D540</f>
        <v>8</v>
      </c>
      <c r="D540">
        <f>Raw_Data!F540</f>
        <v>3</v>
      </c>
      <c r="E540">
        <f>Raw_Data!H540</f>
        <v>1</v>
      </c>
      <c r="F540">
        <f>Raw_Data!G540</f>
        <v>1</v>
      </c>
      <c r="G540">
        <f>Raw_Data!E540</f>
        <v>23912.99</v>
      </c>
      <c r="H540">
        <f>Raw_Data!I540</f>
        <v>70418.460000000006</v>
      </c>
      <c r="I540">
        <f>Raw_Data!J540</f>
        <v>0</v>
      </c>
      <c r="J540">
        <f t="shared" si="17"/>
        <v>3</v>
      </c>
      <c r="K540" t="str">
        <f t="shared" si="18"/>
        <v>Medium Risk</v>
      </c>
    </row>
    <row r="541" spans="1:11" x14ac:dyDescent="0.35">
      <c r="A541">
        <f>Raw_Data!A541</f>
        <v>540</v>
      </c>
      <c r="B541">
        <f>Raw_Data!B541</f>
        <v>48</v>
      </c>
      <c r="C541">
        <f>Raw_Data!D541</f>
        <v>50</v>
      </c>
      <c r="D541">
        <f>Raw_Data!F541</f>
        <v>1</v>
      </c>
      <c r="E541">
        <f>Raw_Data!H541</f>
        <v>1</v>
      </c>
      <c r="F541">
        <f>Raw_Data!G541</f>
        <v>0</v>
      </c>
      <c r="G541">
        <f>Raw_Data!E541</f>
        <v>7259.83</v>
      </c>
      <c r="H541">
        <f>Raw_Data!I541</f>
        <v>57424.36</v>
      </c>
      <c r="I541">
        <f>Raw_Data!J541</f>
        <v>0</v>
      </c>
      <c r="J541">
        <f t="shared" si="17"/>
        <v>0</v>
      </c>
      <c r="K541" t="str">
        <f t="shared" si="18"/>
        <v>Low Risk</v>
      </c>
    </row>
    <row r="542" spans="1:11" x14ac:dyDescent="0.35">
      <c r="A542">
        <f>Raw_Data!A542</f>
        <v>541</v>
      </c>
      <c r="B542">
        <f>Raw_Data!B542</f>
        <v>27</v>
      </c>
      <c r="C542">
        <f>Raw_Data!D542</f>
        <v>67</v>
      </c>
      <c r="D542">
        <f>Raw_Data!F542</f>
        <v>4</v>
      </c>
      <c r="E542">
        <f>Raw_Data!H542</f>
        <v>0</v>
      </c>
      <c r="F542">
        <f>Raw_Data!G542</f>
        <v>1</v>
      </c>
      <c r="G542">
        <f>Raw_Data!E542</f>
        <v>35505.5</v>
      </c>
      <c r="H542">
        <f>Raw_Data!I542</f>
        <v>114210.51</v>
      </c>
      <c r="I542">
        <f>Raw_Data!J542</f>
        <v>0</v>
      </c>
      <c r="J542">
        <f t="shared" si="17"/>
        <v>4</v>
      </c>
      <c r="K542" t="str">
        <f t="shared" si="18"/>
        <v>Medium Risk</v>
      </c>
    </row>
    <row r="543" spans="1:11" x14ac:dyDescent="0.35">
      <c r="A543">
        <f>Raw_Data!A543</f>
        <v>542</v>
      </c>
      <c r="B543">
        <f>Raw_Data!B543</f>
        <v>36</v>
      </c>
      <c r="C543">
        <f>Raw_Data!D543</f>
        <v>44</v>
      </c>
      <c r="D543">
        <f>Raw_Data!F543</f>
        <v>4</v>
      </c>
      <c r="E543">
        <f>Raw_Data!H543</f>
        <v>1</v>
      </c>
      <c r="F543">
        <f>Raw_Data!G543</f>
        <v>1</v>
      </c>
      <c r="G543">
        <f>Raw_Data!E543</f>
        <v>33342.720000000001</v>
      </c>
      <c r="H543">
        <f>Raw_Data!I543</f>
        <v>128734.03</v>
      </c>
      <c r="I543">
        <f>Raw_Data!J543</f>
        <v>0</v>
      </c>
      <c r="J543">
        <f t="shared" si="17"/>
        <v>2</v>
      </c>
      <c r="K543" t="str">
        <f t="shared" si="18"/>
        <v>Low Risk</v>
      </c>
    </row>
    <row r="544" spans="1:11" x14ac:dyDescent="0.35">
      <c r="A544">
        <f>Raw_Data!A544</f>
        <v>543</v>
      </c>
      <c r="B544">
        <f>Raw_Data!B544</f>
        <v>49</v>
      </c>
      <c r="C544">
        <f>Raw_Data!D544</f>
        <v>58</v>
      </c>
      <c r="D544">
        <f>Raw_Data!F544</f>
        <v>3</v>
      </c>
      <c r="E544">
        <f>Raw_Data!H544</f>
        <v>1</v>
      </c>
      <c r="F544">
        <f>Raw_Data!G544</f>
        <v>0</v>
      </c>
      <c r="G544">
        <f>Raw_Data!E544</f>
        <v>10555.62</v>
      </c>
      <c r="H544">
        <f>Raw_Data!I544</f>
        <v>132123.65</v>
      </c>
      <c r="I544">
        <f>Raw_Data!J544</f>
        <v>0</v>
      </c>
      <c r="J544">
        <f t="shared" si="17"/>
        <v>0</v>
      </c>
      <c r="K544" t="str">
        <f t="shared" si="18"/>
        <v>Low Risk</v>
      </c>
    </row>
    <row r="545" spans="1:11" x14ac:dyDescent="0.35">
      <c r="A545">
        <f>Raw_Data!A545</f>
        <v>544</v>
      </c>
      <c r="B545">
        <f>Raw_Data!B545</f>
        <v>18</v>
      </c>
      <c r="C545">
        <f>Raw_Data!D545</f>
        <v>3</v>
      </c>
      <c r="D545">
        <f>Raw_Data!F545</f>
        <v>4</v>
      </c>
      <c r="E545">
        <f>Raw_Data!H545</f>
        <v>1</v>
      </c>
      <c r="F545">
        <f>Raw_Data!G545</f>
        <v>1</v>
      </c>
      <c r="G545">
        <f>Raw_Data!E545</f>
        <v>43170.04</v>
      </c>
      <c r="H545">
        <f>Raw_Data!I545</f>
        <v>61079.63</v>
      </c>
      <c r="I545">
        <f>Raw_Data!J545</f>
        <v>0</v>
      </c>
      <c r="J545">
        <f t="shared" si="17"/>
        <v>5</v>
      </c>
      <c r="K545" t="str">
        <f t="shared" si="18"/>
        <v>High Risk</v>
      </c>
    </row>
    <row r="546" spans="1:11" x14ac:dyDescent="0.35">
      <c r="A546">
        <f>Raw_Data!A546</f>
        <v>545</v>
      </c>
      <c r="B546">
        <f>Raw_Data!B546</f>
        <v>22</v>
      </c>
      <c r="C546">
        <f>Raw_Data!D546</f>
        <v>70</v>
      </c>
      <c r="D546">
        <f>Raw_Data!F546</f>
        <v>4</v>
      </c>
      <c r="E546">
        <f>Raw_Data!H546</f>
        <v>0</v>
      </c>
      <c r="F546">
        <f>Raw_Data!G546</f>
        <v>0</v>
      </c>
      <c r="G546">
        <f>Raw_Data!E546</f>
        <v>20065.3</v>
      </c>
      <c r="H546">
        <f>Raw_Data!I546</f>
        <v>130787.61</v>
      </c>
      <c r="I546">
        <f>Raw_Data!J546</f>
        <v>0</v>
      </c>
      <c r="J546">
        <f t="shared" si="17"/>
        <v>4</v>
      </c>
      <c r="K546" t="str">
        <f t="shared" si="18"/>
        <v>Medium Risk</v>
      </c>
    </row>
    <row r="547" spans="1:11" x14ac:dyDescent="0.35">
      <c r="A547">
        <f>Raw_Data!A547</f>
        <v>546</v>
      </c>
      <c r="B547">
        <f>Raw_Data!B547</f>
        <v>62</v>
      </c>
      <c r="C547">
        <f>Raw_Data!D547</f>
        <v>2</v>
      </c>
      <c r="D547">
        <f>Raw_Data!F547</f>
        <v>1</v>
      </c>
      <c r="E547">
        <f>Raw_Data!H547</f>
        <v>1</v>
      </c>
      <c r="F547">
        <f>Raw_Data!G547</f>
        <v>1</v>
      </c>
      <c r="G547">
        <f>Raw_Data!E547</f>
        <v>14625.75</v>
      </c>
      <c r="H547">
        <f>Raw_Data!I547</f>
        <v>25321.41</v>
      </c>
      <c r="I547">
        <f>Raw_Data!J547</f>
        <v>0</v>
      </c>
      <c r="J547">
        <f t="shared" si="17"/>
        <v>3</v>
      </c>
      <c r="K547" t="str">
        <f t="shared" si="18"/>
        <v>Medium Risk</v>
      </c>
    </row>
    <row r="548" spans="1:11" x14ac:dyDescent="0.35">
      <c r="A548">
        <f>Raw_Data!A548</f>
        <v>547</v>
      </c>
      <c r="B548">
        <f>Raw_Data!B548</f>
        <v>21</v>
      </c>
      <c r="C548">
        <f>Raw_Data!D548</f>
        <v>44</v>
      </c>
      <c r="D548">
        <f>Raw_Data!F548</f>
        <v>1</v>
      </c>
      <c r="E548">
        <f>Raw_Data!H548</f>
        <v>0</v>
      </c>
      <c r="F548">
        <f>Raw_Data!G548</f>
        <v>1</v>
      </c>
      <c r="G548">
        <f>Raw_Data!E548</f>
        <v>7616.48</v>
      </c>
      <c r="H548">
        <f>Raw_Data!I548</f>
        <v>26455.99</v>
      </c>
      <c r="I548">
        <f>Raw_Data!J548</f>
        <v>0</v>
      </c>
      <c r="J548">
        <f t="shared" si="17"/>
        <v>2</v>
      </c>
      <c r="K548" t="str">
        <f t="shared" si="18"/>
        <v>Low Risk</v>
      </c>
    </row>
    <row r="549" spans="1:11" x14ac:dyDescent="0.35">
      <c r="A549">
        <f>Raw_Data!A549</f>
        <v>548</v>
      </c>
      <c r="B549">
        <f>Raw_Data!B549</f>
        <v>33</v>
      </c>
      <c r="C549">
        <f>Raw_Data!D549</f>
        <v>2</v>
      </c>
      <c r="D549">
        <f>Raw_Data!F549</f>
        <v>1</v>
      </c>
      <c r="E549">
        <f>Raw_Data!H549</f>
        <v>0</v>
      </c>
      <c r="F549">
        <f>Raw_Data!G549</f>
        <v>1</v>
      </c>
      <c r="G549">
        <f>Raw_Data!E549</f>
        <v>13308.4</v>
      </c>
      <c r="H549">
        <f>Raw_Data!I549</f>
        <v>101057.5</v>
      </c>
      <c r="I549">
        <f>Raw_Data!J549</f>
        <v>0</v>
      </c>
      <c r="J549">
        <f t="shared" si="17"/>
        <v>4</v>
      </c>
      <c r="K549" t="str">
        <f t="shared" si="18"/>
        <v>Medium Risk</v>
      </c>
    </row>
    <row r="550" spans="1:11" x14ac:dyDescent="0.35">
      <c r="A550">
        <f>Raw_Data!A550</f>
        <v>549</v>
      </c>
      <c r="B550">
        <f>Raw_Data!B550</f>
        <v>41</v>
      </c>
      <c r="C550">
        <f>Raw_Data!D550</f>
        <v>35</v>
      </c>
      <c r="D550">
        <f>Raw_Data!F550</f>
        <v>2</v>
      </c>
      <c r="E550">
        <f>Raw_Data!H550</f>
        <v>0</v>
      </c>
      <c r="F550">
        <f>Raw_Data!G550</f>
        <v>0</v>
      </c>
      <c r="G550">
        <f>Raw_Data!E550</f>
        <v>1101.3499999999999</v>
      </c>
      <c r="H550">
        <f>Raw_Data!I550</f>
        <v>28203.83</v>
      </c>
      <c r="I550">
        <f>Raw_Data!J550</f>
        <v>0</v>
      </c>
      <c r="J550">
        <f t="shared" si="17"/>
        <v>2</v>
      </c>
      <c r="K550" t="str">
        <f t="shared" si="18"/>
        <v>Low Risk</v>
      </c>
    </row>
    <row r="551" spans="1:11" x14ac:dyDescent="0.35">
      <c r="A551">
        <f>Raw_Data!A551</f>
        <v>550</v>
      </c>
      <c r="B551">
        <f>Raw_Data!B551</f>
        <v>33</v>
      </c>
      <c r="C551">
        <f>Raw_Data!D551</f>
        <v>30</v>
      </c>
      <c r="D551">
        <f>Raw_Data!F551</f>
        <v>2</v>
      </c>
      <c r="E551">
        <f>Raw_Data!H551</f>
        <v>0</v>
      </c>
      <c r="F551">
        <f>Raw_Data!G551</f>
        <v>1</v>
      </c>
      <c r="G551">
        <f>Raw_Data!E551</f>
        <v>29162.87</v>
      </c>
      <c r="H551">
        <f>Raw_Data!I551</f>
        <v>62199.19</v>
      </c>
      <c r="I551">
        <f>Raw_Data!J551</f>
        <v>0</v>
      </c>
      <c r="J551">
        <f t="shared" si="17"/>
        <v>2</v>
      </c>
      <c r="K551" t="str">
        <f t="shared" si="18"/>
        <v>Low Risk</v>
      </c>
    </row>
    <row r="552" spans="1:11" x14ac:dyDescent="0.35">
      <c r="A552">
        <f>Raw_Data!A552</f>
        <v>551</v>
      </c>
      <c r="B552">
        <f>Raw_Data!B552</f>
        <v>19</v>
      </c>
      <c r="C552">
        <f>Raw_Data!D552</f>
        <v>8</v>
      </c>
      <c r="D552">
        <f>Raw_Data!F552</f>
        <v>1</v>
      </c>
      <c r="E552">
        <f>Raw_Data!H552</f>
        <v>0</v>
      </c>
      <c r="F552">
        <f>Raw_Data!G552</f>
        <v>0</v>
      </c>
      <c r="G552">
        <f>Raw_Data!E552</f>
        <v>42111.54</v>
      </c>
      <c r="H552">
        <f>Raw_Data!I552</f>
        <v>107458.28</v>
      </c>
      <c r="I552">
        <f>Raw_Data!J552</f>
        <v>0</v>
      </c>
      <c r="J552">
        <f t="shared" si="17"/>
        <v>5</v>
      </c>
      <c r="K552" t="str">
        <f t="shared" si="18"/>
        <v>High Risk</v>
      </c>
    </row>
    <row r="553" spans="1:11" x14ac:dyDescent="0.35">
      <c r="A553">
        <f>Raw_Data!A553</f>
        <v>552</v>
      </c>
      <c r="B553">
        <f>Raw_Data!B553</f>
        <v>66</v>
      </c>
      <c r="C553">
        <f>Raw_Data!D553</f>
        <v>22</v>
      </c>
      <c r="D553">
        <f>Raw_Data!F553</f>
        <v>1</v>
      </c>
      <c r="E553">
        <f>Raw_Data!H553</f>
        <v>1</v>
      </c>
      <c r="F553">
        <f>Raw_Data!G553</f>
        <v>0</v>
      </c>
      <c r="G553">
        <f>Raw_Data!E553</f>
        <v>27449.02</v>
      </c>
      <c r="H553">
        <f>Raw_Data!I553</f>
        <v>63844.7</v>
      </c>
      <c r="I553">
        <f>Raw_Data!J553</f>
        <v>0</v>
      </c>
      <c r="J553">
        <f t="shared" si="17"/>
        <v>1</v>
      </c>
      <c r="K553" t="str">
        <f t="shared" si="18"/>
        <v>Low Risk</v>
      </c>
    </row>
    <row r="554" spans="1:11" x14ac:dyDescent="0.35">
      <c r="A554">
        <f>Raw_Data!A554</f>
        <v>553</v>
      </c>
      <c r="B554">
        <f>Raw_Data!B554</f>
        <v>45</v>
      </c>
      <c r="C554">
        <f>Raw_Data!D554</f>
        <v>44</v>
      </c>
      <c r="D554">
        <f>Raw_Data!F554</f>
        <v>2</v>
      </c>
      <c r="E554">
        <f>Raw_Data!H554</f>
        <v>0</v>
      </c>
      <c r="F554">
        <f>Raw_Data!G554</f>
        <v>1</v>
      </c>
      <c r="G554">
        <f>Raw_Data!E554</f>
        <v>10963.7</v>
      </c>
      <c r="H554">
        <f>Raw_Data!I554</f>
        <v>43347.97</v>
      </c>
      <c r="I554">
        <f>Raw_Data!J554</f>
        <v>0</v>
      </c>
      <c r="J554">
        <f t="shared" si="17"/>
        <v>2</v>
      </c>
      <c r="K554" t="str">
        <f t="shared" si="18"/>
        <v>Low Risk</v>
      </c>
    </row>
    <row r="555" spans="1:11" x14ac:dyDescent="0.35">
      <c r="A555">
        <f>Raw_Data!A555</f>
        <v>554</v>
      </c>
      <c r="B555">
        <f>Raw_Data!B555</f>
        <v>49</v>
      </c>
      <c r="C555">
        <f>Raw_Data!D555</f>
        <v>58</v>
      </c>
      <c r="D555">
        <f>Raw_Data!F555</f>
        <v>3</v>
      </c>
      <c r="E555">
        <f>Raw_Data!H555</f>
        <v>0</v>
      </c>
      <c r="F555">
        <f>Raw_Data!G555</f>
        <v>0</v>
      </c>
      <c r="G555">
        <f>Raw_Data!E555</f>
        <v>1683.46</v>
      </c>
      <c r="H555">
        <f>Raw_Data!I555</f>
        <v>56575.58</v>
      </c>
      <c r="I555">
        <f>Raw_Data!J555</f>
        <v>0</v>
      </c>
      <c r="J555">
        <f t="shared" si="17"/>
        <v>2</v>
      </c>
      <c r="K555" t="str">
        <f t="shared" si="18"/>
        <v>Low Risk</v>
      </c>
    </row>
    <row r="556" spans="1:11" x14ac:dyDescent="0.35">
      <c r="A556">
        <f>Raw_Data!A556</f>
        <v>555</v>
      </c>
      <c r="B556">
        <f>Raw_Data!B556</f>
        <v>44</v>
      </c>
      <c r="C556">
        <f>Raw_Data!D556</f>
        <v>36</v>
      </c>
      <c r="D556">
        <f>Raw_Data!F556</f>
        <v>4</v>
      </c>
      <c r="E556">
        <f>Raw_Data!H556</f>
        <v>0</v>
      </c>
      <c r="F556">
        <f>Raw_Data!G556</f>
        <v>1</v>
      </c>
      <c r="G556">
        <f>Raw_Data!E556</f>
        <v>10731.4</v>
      </c>
      <c r="H556">
        <f>Raw_Data!I556</f>
        <v>79484.789999999994</v>
      </c>
      <c r="I556">
        <f>Raw_Data!J556</f>
        <v>0</v>
      </c>
      <c r="J556">
        <f t="shared" si="17"/>
        <v>4</v>
      </c>
      <c r="K556" t="str">
        <f t="shared" si="18"/>
        <v>Medium Risk</v>
      </c>
    </row>
    <row r="557" spans="1:11" x14ac:dyDescent="0.35">
      <c r="A557">
        <f>Raw_Data!A557</f>
        <v>556</v>
      </c>
      <c r="B557">
        <f>Raw_Data!B557</f>
        <v>37</v>
      </c>
      <c r="C557">
        <f>Raw_Data!D557</f>
        <v>69</v>
      </c>
      <c r="D557">
        <f>Raw_Data!F557</f>
        <v>4</v>
      </c>
      <c r="E557">
        <f>Raw_Data!H557</f>
        <v>1</v>
      </c>
      <c r="F557">
        <f>Raw_Data!G557</f>
        <v>0</v>
      </c>
      <c r="G557">
        <f>Raw_Data!E557</f>
        <v>20806.07</v>
      </c>
      <c r="H557">
        <f>Raw_Data!I557</f>
        <v>81800.160000000003</v>
      </c>
      <c r="I557">
        <f>Raw_Data!J557</f>
        <v>0</v>
      </c>
      <c r="J557">
        <f t="shared" si="17"/>
        <v>2</v>
      </c>
      <c r="K557" t="str">
        <f t="shared" si="18"/>
        <v>Low Risk</v>
      </c>
    </row>
    <row r="558" spans="1:11" x14ac:dyDescent="0.35">
      <c r="A558">
        <f>Raw_Data!A558</f>
        <v>557</v>
      </c>
      <c r="B558">
        <f>Raw_Data!B558</f>
        <v>41</v>
      </c>
      <c r="C558">
        <f>Raw_Data!D558</f>
        <v>31</v>
      </c>
      <c r="D558">
        <f>Raw_Data!F558</f>
        <v>1</v>
      </c>
      <c r="E558">
        <f>Raw_Data!H558</f>
        <v>1</v>
      </c>
      <c r="F558">
        <f>Raw_Data!G558</f>
        <v>0</v>
      </c>
      <c r="G558">
        <f>Raw_Data!E558</f>
        <v>37980.57</v>
      </c>
      <c r="H558">
        <f>Raw_Data!I558</f>
        <v>121790.03</v>
      </c>
      <c r="I558">
        <f>Raw_Data!J558</f>
        <v>0</v>
      </c>
      <c r="J558">
        <f t="shared" si="17"/>
        <v>0</v>
      </c>
      <c r="K558" t="str">
        <f t="shared" si="18"/>
        <v>Low Risk</v>
      </c>
    </row>
    <row r="559" spans="1:11" x14ac:dyDescent="0.35">
      <c r="A559">
        <f>Raw_Data!A559</f>
        <v>558</v>
      </c>
      <c r="B559">
        <f>Raw_Data!B559</f>
        <v>29</v>
      </c>
      <c r="C559">
        <f>Raw_Data!D559</f>
        <v>47</v>
      </c>
      <c r="D559">
        <f>Raw_Data!F559</f>
        <v>3</v>
      </c>
      <c r="E559">
        <f>Raw_Data!H559</f>
        <v>1</v>
      </c>
      <c r="F559">
        <f>Raw_Data!G559</f>
        <v>1</v>
      </c>
      <c r="G559">
        <f>Raw_Data!E559</f>
        <v>9392.14</v>
      </c>
      <c r="H559">
        <f>Raw_Data!I559</f>
        <v>117519.92</v>
      </c>
      <c r="I559">
        <f>Raw_Data!J559</f>
        <v>0</v>
      </c>
      <c r="J559">
        <f t="shared" si="17"/>
        <v>0</v>
      </c>
      <c r="K559" t="str">
        <f t="shared" si="18"/>
        <v>Low Risk</v>
      </c>
    </row>
    <row r="560" spans="1:11" x14ac:dyDescent="0.35">
      <c r="A560">
        <f>Raw_Data!A560</f>
        <v>559</v>
      </c>
      <c r="B560">
        <f>Raw_Data!B560</f>
        <v>67</v>
      </c>
      <c r="C560">
        <f>Raw_Data!D560</f>
        <v>55</v>
      </c>
      <c r="D560">
        <f>Raw_Data!F560</f>
        <v>2</v>
      </c>
      <c r="E560">
        <f>Raw_Data!H560</f>
        <v>1</v>
      </c>
      <c r="F560">
        <f>Raw_Data!G560</f>
        <v>1</v>
      </c>
      <c r="G560">
        <f>Raw_Data!E560</f>
        <v>35989.57</v>
      </c>
      <c r="H560">
        <f>Raw_Data!I560</f>
        <v>79386.31</v>
      </c>
      <c r="I560">
        <f>Raw_Data!J560</f>
        <v>0</v>
      </c>
      <c r="J560">
        <f t="shared" si="17"/>
        <v>1</v>
      </c>
      <c r="K560" t="str">
        <f t="shared" si="18"/>
        <v>Low Risk</v>
      </c>
    </row>
    <row r="561" spans="1:11" x14ac:dyDescent="0.35">
      <c r="A561">
        <f>Raw_Data!A561</f>
        <v>560</v>
      </c>
      <c r="B561">
        <f>Raw_Data!B561</f>
        <v>52</v>
      </c>
      <c r="C561">
        <f>Raw_Data!D561</f>
        <v>62</v>
      </c>
      <c r="D561">
        <f>Raw_Data!F561</f>
        <v>1</v>
      </c>
      <c r="E561">
        <f>Raw_Data!H561</f>
        <v>0</v>
      </c>
      <c r="F561">
        <f>Raw_Data!G561</f>
        <v>1</v>
      </c>
      <c r="G561">
        <f>Raw_Data!E561</f>
        <v>43346.67</v>
      </c>
      <c r="H561">
        <f>Raw_Data!I561</f>
        <v>129936.76</v>
      </c>
      <c r="I561">
        <f>Raw_Data!J561</f>
        <v>0</v>
      </c>
      <c r="J561">
        <f t="shared" si="17"/>
        <v>3</v>
      </c>
      <c r="K561" t="str">
        <f t="shared" si="18"/>
        <v>Medium Risk</v>
      </c>
    </row>
    <row r="562" spans="1:11" x14ac:dyDescent="0.35">
      <c r="A562">
        <f>Raw_Data!A562</f>
        <v>561</v>
      </c>
      <c r="B562">
        <f>Raw_Data!B562</f>
        <v>50</v>
      </c>
      <c r="C562">
        <f>Raw_Data!D562</f>
        <v>30</v>
      </c>
      <c r="D562">
        <f>Raw_Data!F562</f>
        <v>3</v>
      </c>
      <c r="E562">
        <f>Raw_Data!H562</f>
        <v>0</v>
      </c>
      <c r="F562">
        <f>Raw_Data!G562</f>
        <v>1</v>
      </c>
      <c r="G562">
        <f>Raw_Data!E562</f>
        <v>22697.34</v>
      </c>
      <c r="H562">
        <f>Raw_Data!I562</f>
        <v>34850.83</v>
      </c>
      <c r="I562">
        <f>Raw_Data!J562</f>
        <v>0</v>
      </c>
      <c r="J562">
        <f t="shared" si="17"/>
        <v>2</v>
      </c>
      <c r="K562" t="str">
        <f t="shared" si="18"/>
        <v>Low Risk</v>
      </c>
    </row>
    <row r="563" spans="1:11" x14ac:dyDescent="0.35">
      <c r="A563">
        <f>Raw_Data!A563</f>
        <v>562</v>
      </c>
      <c r="B563">
        <f>Raw_Data!B563</f>
        <v>50</v>
      </c>
      <c r="C563">
        <f>Raw_Data!D563</f>
        <v>55</v>
      </c>
      <c r="D563">
        <f>Raw_Data!F563</f>
        <v>3</v>
      </c>
      <c r="E563">
        <f>Raw_Data!H563</f>
        <v>1</v>
      </c>
      <c r="F563">
        <f>Raw_Data!G563</f>
        <v>0</v>
      </c>
      <c r="G563">
        <f>Raw_Data!E563</f>
        <v>41071.599999999999</v>
      </c>
      <c r="H563">
        <f>Raw_Data!I563</f>
        <v>53195.94</v>
      </c>
      <c r="I563">
        <f>Raw_Data!J563</f>
        <v>0</v>
      </c>
      <c r="J563">
        <f t="shared" si="17"/>
        <v>1</v>
      </c>
      <c r="K563" t="str">
        <f t="shared" si="18"/>
        <v>Low Risk</v>
      </c>
    </row>
    <row r="564" spans="1:11" x14ac:dyDescent="0.35">
      <c r="A564">
        <f>Raw_Data!A564</f>
        <v>563</v>
      </c>
      <c r="B564">
        <f>Raw_Data!B564</f>
        <v>68</v>
      </c>
      <c r="C564">
        <f>Raw_Data!D564</f>
        <v>16</v>
      </c>
      <c r="D564">
        <f>Raw_Data!F564</f>
        <v>3</v>
      </c>
      <c r="E564">
        <f>Raw_Data!H564</f>
        <v>1</v>
      </c>
      <c r="F564">
        <f>Raw_Data!G564</f>
        <v>0</v>
      </c>
      <c r="G564">
        <f>Raw_Data!E564</f>
        <v>27732.87</v>
      </c>
      <c r="H564">
        <f>Raw_Data!I564</f>
        <v>127636.94</v>
      </c>
      <c r="I564">
        <f>Raw_Data!J564</f>
        <v>0</v>
      </c>
      <c r="J564">
        <f t="shared" si="17"/>
        <v>1</v>
      </c>
      <c r="K564" t="str">
        <f t="shared" si="18"/>
        <v>Low Risk</v>
      </c>
    </row>
    <row r="565" spans="1:11" x14ac:dyDescent="0.35">
      <c r="A565">
        <f>Raw_Data!A565</f>
        <v>564</v>
      </c>
      <c r="B565">
        <f>Raw_Data!B565</f>
        <v>60</v>
      </c>
      <c r="C565">
        <f>Raw_Data!D565</f>
        <v>12</v>
      </c>
      <c r="D565">
        <f>Raw_Data!F565</f>
        <v>2</v>
      </c>
      <c r="E565">
        <f>Raw_Data!H565</f>
        <v>1</v>
      </c>
      <c r="F565">
        <f>Raw_Data!G565</f>
        <v>0</v>
      </c>
      <c r="G565">
        <f>Raw_Data!E565</f>
        <v>31854.54</v>
      </c>
      <c r="H565">
        <f>Raw_Data!I565</f>
        <v>69139.23</v>
      </c>
      <c r="I565">
        <f>Raw_Data!J565</f>
        <v>0</v>
      </c>
      <c r="J565">
        <f t="shared" si="17"/>
        <v>3</v>
      </c>
      <c r="K565" t="str">
        <f t="shared" si="18"/>
        <v>Medium Risk</v>
      </c>
    </row>
    <row r="566" spans="1:11" x14ac:dyDescent="0.35">
      <c r="A566">
        <f>Raw_Data!A566</f>
        <v>565</v>
      </c>
      <c r="B566">
        <f>Raw_Data!B566</f>
        <v>54</v>
      </c>
      <c r="C566">
        <f>Raw_Data!D566</f>
        <v>17</v>
      </c>
      <c r="D566">
        <f>Raw_Data!F566</f>
        <v>2</v>
      </c>
      <c r="E566">
        <f>Raw_Data!H566</f>
        <v>1</v>
      </c>
      <c r="F566">
        <f>Raw_Data!G566</f>
        <v>1</v>
      </c>
      <c r="G566">
        <f>Raw_Data!E566</f>
        <v>26313.919999999998</v>
      </c>
      <c r="H566">
        <f>Raw_Data!I566</f>
        <v>147553.60000000001</v>
      </c>
      <c r="I566">
        <f>Raw_Data!J566</f>
        <v>0</v>
      </c>
      <c r="J566">
        <f t="shared" si="17"/>
        <v>0</v>
      </c>
      <c r="K566" t="str">
        <f t="shared" si="18"/>
        <v>Low Risk</v>
      </c>
    </row>
    <row r="567" spans="1:11" x14ac:dyDescent="0.35">
      <c r="A567">
        <f>Raw_Data!A567</f>
        <v>566</v>
      </c>
      <c r="B567">
        <f>Raw_Data!B567</f>
        <v>29</v>
      </c>
      <c r="C567">
        <f>Raw_Data!D567</f>
        <v>16</v>
      </c>
      <c r="D567">
        <f>Raw_Data!F567</f>
        <v>4</v>
      </c>
      <c r="E567">
        <f>Raw_Data!H567</f>
        <v>0</v>
      </c>
      <c r="F567">
        <f>Raw_Data!G567</f>
        <v>0</v>
      </c>
      <c r="G567">
        <f>Raw_Data!E567</f>
        <v>23158.639999999999</v>
      </c>
      <c r="H567">
        <f>Raw_Data!I567</f>
        <v>80612.929999999993</v>
      </c>
      <c r="I567">
        <f>Raw_Data!J567</f>
        <v>0</v>
      </c>
      <c r="J567">
        <f t="shared" si="17"/>
        <v>4</v>
      </c>
      <c r="K567" t="str">
        <f t="shared" si="18"/>
        <v>Medium Risk</v>
      </c>
    </row>
    <row r="568" spans="1:11" x14ac:dyDescent="0.35">
      <c r="A568">
        <f>Raw_Data!A568</f>
        <v>567</v>
      </c>
      <c r="B568">
        <f>Raw_Data!B568</f>
        <v>20</v>
      </c>
      <c r="C568">
        <f>Raw_Data!D568</f>
        <v>12</v>
      </c>
      <c r="D568">
        <f>Raw_Data!F568</f>
        <v>4</v>
      </c>
      <c r="E568">
        <f>Raw_Data!H568</f>
        <v>1</v>
      </c>
      <c r="F568">
        <f>Raw_Data!G568</f>
        <v>1</v>
      </c>
      <c r="G568">
        <f>Raw_Data!E568</f>
        <v>11732.67</v>
      </c>
      <c r="H568">
        <f>Raw_Data!I568</f>
        <v>122951.63</v>
      </c>
      <c r="I568">
        <f>Raw_Data!J568</f>
        <v>0</v>
      </c>
      <c r="J568">
        <f t="shared" si="17"/>
        <v>4</v>
      </c>
      <c r="K568" t="str">
        <f t="shared" si="18"/>
        <v>Medium Risk</v>
      </c>
    </row>
    <row r="569" spans="1:11" x14ac:dyDescent="0.35">
      <c r="A569">
        <f>Raw_Data!A569</f>
        <v>568</v>
      </c>
      <c r="B569">
        <f>Raw_Data!B569</f>
        <v>18</v>
      </c>
      <c r="C569">
        <f>Raw_Data!D569</f>
        <v>8</v>
      </c>
      <c r="D569">
        <f>Raw_Data!F569</f>
        <v>3</v>
      </c>
      <c r="E569">
        <f>Raw_Data!H569</f>
        <v>1</v>
      </c>
      <c r="F569">
        <f>Raw_Data!G569</f>
        <v>0</v>
      </c>
      <c r="G569">
        <f>Raw_Data!E569</f>
        <v>15159.7</v>
      </c>
      <c r="H569">
        <f>Raw_Data!I569</f>
        <v>72299.92</v>
      </c>
      <c r="I569">
        <f>Raw_Data!J569</f>
        <v>0</v>
      </c>
      <c r="J569">
        <f t="shared" si="17"/>
        <v>2</v>
      </c>
      <c r="K569" t="str">
        <f t="shared" si="18"/>
        <v>Low Risk</v>
      </c>
    </row>
    <row r="570" spans="1:11" x14ac:dyDescent="0.35">
      <c r="A570">
        <f>Raw_Data!A570</f>
        <v>569</v>
      </c>
      <c r="B570">
        <f>Raw_Data!B570</f>
        <v>50</v>
      </c>
      <c r="C570">
        <f>Raw_Data!D570</f>
        <v>3</v>
      </c>
      <c r="D570">
        <f>Raw_Data!F570</f>
        <v>3</v>
      </c>
      <c r="E570">
        <f>Raw_Data!H570</f>
        <v>1</v>
      </c>
      <c r="F570">
        <f>Raw_Data!G570</f>
        <v>1</v>
      </c>
      <c r="G570">
        <f>Raw_Data!E570</f>
        <v>14498.51</v>
      </c>
      <c r="H570">
        <f>Raw_Data!I570</f>
        <v>75243.960000000006</v>
      </c>
      <c r="I570">
        <f>Raw_Data!J570</f>
        <v>0</v>
      </c>
      <c r="J570">
        <f t="shared" si="17"/>
        <v>2</v>
      </c>
      <c r="K570" t="str">
        <f t="shared" si="18"/>
        <v>Low Risk</v>
      </c>
    </row>
    <row r="571" spans="1:11" x14ac:dyDescent="0.35">
      <c r="A571">
        <f>Raw_Data!A571</f>
        <v>570</v>
      </c>
      <c r="B571">
        <f>Raw_Data!B571</f>
        <v>57</v>
      </c>
      <c r="C571">
        <f>Raw_Data!D571</f>
        <v>16</v>
      </c>
      <c r="D571">
        <f>Raw_Data!F571</f>
        <v>2</v>
      </c>
      <c r="E571">
        <f>Raw_Data!H571</f>
        <v>1</v>
      </c>
      <c r="F571">
        <f>Raw_Data!G571</f>
        <v>0</v>
      </c>
      <c r="G571">
        <f>Raw_Data!E571</f>
        <v>28164.45</v>
      </c>
      <c r="H571">
        <f>Raw_Data!I571</f>
        <v>69774.81</v>
      </c>
      <c r="I571">
        <f>Raw_Data!J571</f>
        <v>0</v>
      </c>
      <c r="J571">
        <f t="shared" si="17"/>
        <v>1</v>
      </c>
      <c r="K571" t="str">
        <f t="shared" si="18"/>
        <v>Low Risk</v>
      </c>
    </row>
    <row r="572" spans="1:11" x14ac:dyDescent="0.35">
      <c r="A572">
        <f>Raw_Data!A572</f>
        <v>571</v>
      </c>
      <c r="B572">
        <f>Raw_Data!B572</f>
        <v>27</v>
      </c>
      <c r="C572">
        <f>Raw_Data!D572</f>
        <v>30</v>
      </c>
      <c r="D572">
        <f>Raw_Data!F572</f>
        <v>4</v>
      </c>
      <c r="E572">
        <f>Raw_Data!H572</f>
        <v>1</v>
      </c>
      <c r="F572">
        <f>Raw_Data!G572</f>
        <v>0</v>
      </c>
      <c r="G572">
        <f>Raw_Data!E572</f>
        <v>5997.68</v>
      </c>
      <c r="H572">
        <f>Raw_Data!I572</f>
        <v>113479.83</v>
      </c>
      <c r="I572">
        <f>Raw_Data!J572</f>
        <v>0</v>
      </c>
      <c r="J572">
        <f t="shared" si="17"/>
        <v>2</v>
      </c>
      <c r="K572" t="str">
        <f t="shared" si="18"/>
        <v>Low Risk</v>
      </c>
    </row>
    <row r="573" spans="1:11" x14ac:dyDescent="0.35">
      <c r="A573">
        <f>Raw_Data!A573</f>
        <v>572</v>
      </c>
      <c r="B573">
        <f>Raw_Data!B573</f>
        <v>60</v>
      </c>
      <c r="C573">
        <f>Raw_Data!D573</f>
        <v>23</v>
      </c>
      <c r="D573">
        <f>Raw_Data!F573</f>
        <v>3</v>
      </c>
      <c r="E573">
        <f>Raw_Data!H573</f>
        <v>1</v>
      </c>
      <c r="F573">
        <f>Raw_Data!G573</f>
        <v>1</v>
      </c>
      <c r="G573">
        <f>Raw_Data!E573</f>
        <v>45839.58</v>
      </c>
      <c r="H573">
        <f>Raw_Data!I573</f>
        <v>91177.32</v>
      </c>
      <c r="I573">
        <f>Raw_Data!J573</f>
        <v>0</v>
      </c>
      <c r="J573">
        <f t="shared" si="17"/>
        <v>2</v>
      </c>
      <c r="K573" t="str">
        <f t="shared" si="18"/>
        <v>Low Risk</v>
      </c>
    </row>
    <row r="574" spans="1:11" x14ac:dyDescent="0.35">
      <c r="A574">
        <f>Raw_Data!A574</f>
        <v>573</v>
      </c>
      <c r="B574">
        <f>Raw_Data!B574</f>
        <v>61</v>
      </c>
      <c r="C574">
        <f>Raw_Data!D574</f>
        <v>5</v>
      </c>
      <c r="D574">
        <f>Raw_Data!F574</f>
        <v>4</v>
      </c>
      <c r="E574">
        <f>Raw_Data!H574</f>
        <v>1</v>
      </c>
      <c r="F574">
        <f>Raw_Data!G574</f>
        <v>0</v>
      </c>
      <c r="G574">
        <f>Raw_Data!E574</f>
        <v>36032.76</v>
      </c>
      <c r="H574">
        <f>Raw_Data!I574</f>
        <v>142691.15</v>
      </c>
      <c r="I574">
        <f>Raw_Data!J574</f>
        <v>0</v>
      </c>
      <c r="J574">
        <f t="shared" si="17"/>
        <v>5</v>
      </c>
      <c r="K574" t="str">
        <f t="shared" si="18"/>
        <v>High Risk</v>
      </c>
    </row>
    <row r="575" spans="1:11" x14ac:dyDescent="0.35">
      <c r="A575">
        <f>Raw_Data!A575</f>
        <v>574</v>
      </c>
      <c r="B575">
        <f>Raw_Data!B575</f>
        <v>46</v>
      </c>
      <c r="C575">
        <f>Raw_Data!D575</f>
        <v>65</v>
      </c>
      <c r="D575">
        <f>Raw_Data!F575</f>
        <v>4</v>
      </c>
      <c r="E575">
        <f>Raw_Data!H575</f>
        <v>0</v>
      </c>
      <c r="F575">
        <f>Raw_Data!G575</f>
        <v>1</v>
      </c>
      <c r="G575">
        <f>Raw_Data!E575</f>
        <v>20072.28</v>
      </c>
      <c r="H575">
        <f>Raw_Data!I575</f>
        <v>52615.74</v>
      </c>
      <c r="I575">
        <f>Raw_Data!J575</f>
        <v>0</v>
      </c>
      <c r="J575">
        <f t="shared" si="17"/>
        <v>4</v>
      </c>
      <c r="K575" t="str">
        <f t="shared" si="18"/>
        <v>Medium Risk</v>
      </c>
    </row>
    <row r="576" spans="1:11" x14ac:dyDescent="0.35">
      <c r="A576">
        <f>Raw_Data!A576</f>
        <v>575</v>
      </c>
      <c r="B576">
        <f>Raw_Data!B576</f>
        <v>30</v>
      </c>
      <c r="C576">
        <f>Raw_Data!D576</f>
        <v>30</v>
      </c>
      <c r="D576">
        <f>Raw_Data!F576</f>
        <v>3</v>
      </c>
      <c r="E576">
        <f>Raw_Data!H576</f>
        <v>0</v>
      </c>
      <c r="F576">
        <f>Raw_Data!G576</f>
        <v>0</v>
      </c>
      <c r="G576">
        <f>Raw_Data!E576</f>
        <v>7931.21</v>
      </c>
      <c r="H576">
        <f>Raw_Data!I576</f>
        <v>33073.160000000003</v>
      </c>
      <c r="I576">
        <f>Raw_Data!J576</f>
        <v>0</v>
      </c>
      <c r="J576">
        <f t="shared" si="17"/>
        <v>2</v>
      </c>
      <c r="K576" t="str">
        <f t="shared" si="18"/>
        <v>Low Risk</v>
      </c>
    </row>
    <row r="577" spans="1:11" x14ac:dyDescent="0.35">
      <c r="A577">
        <f>Raw_Data!A577</f>
        <v>576</v>
      </c>
      <c r="B577">
        <f>Raw_Data!B577</f>
        <v>29</v>
      </c>
      <c r="C577">
        <f>Raw_Data!D577</f>
        <v>21</v>
      </c>
      <c r="D577">
        <f>Raw_Data!F577</f>
        <v>2</v>
      </c>
      <c r="E577">
        <f>Raw_Data!H577</f>
        <v>0</v>
      </c>
      <c r="F577">
        <f>Raw_Data!G577</f>
        <v>0</v>
      </c>
      <c r="G577">
        <f>Raw_Data!E577</f>
        <v>44099.61</v>
      </c>
      <c r="H577">
        <f>Raw_Data!I577</f>
        <v>71123.990000000005</v>
      </c>
      <c r="I577">
        <f>Raw_Data!J577</f>
        <v>0</v>
      </c>
      <c r="J577">
        <f t="shared" si="17"/>
        <v>3</v>
      </c>
      <c r="K577" t="str">
        <f t="shared" si="18"/>
        <v>Medium Risk</v>
      </c>
    </row>
    <row r="578" spans="1:11" x14ac:dyDescent="0.35">
      <c r="A578">
        <f>Raw_Data!A578</f>
        <v>577</v>
      </c>
      <c r="B578">
        <f>Raw_Data!B578</f>
        <v>48</v>
      </c>
      <c r="C578">
        <f>Raw_Data!D578</f>
        <v>70</v>
      </c>
      <c r="D578">
        <f>Raw_Data!F578</f>
        <v>3</v>
      </c>
      <c r="E578">
        <f>Raw_Data!H578</f>
        <v>0</v>
      </c>
      <c r="F578">
        <f>Raw_Data!G578</f>
        <v>1</v>
      </c>
      <c r="G578">
        <f>Raw_Data!E578</f>
        <v>41188.9</v>
      </c>
      <c r="H578">
        <f>Raw_Data!I578</f>
        <v>100172.65</v>
      </c>
      <c r="I578">
        <f>Raw_Data!J578</f>
        <v>0</v>
      </c>
      <c r="J578">
        <f t="shared" si="17"/>
        <v>3</v>
      </c>
      <c r="K578" t="str">
        <f t="shared" si="18"/>
        <v>Medium Risk</v>
      </c>
    </row>
    <row r="579" spans="1:11" x14ac:dyDescent="0.35">
      <c r="A579">
        <f>Raw_Data!A579</f>
        <v>578</v>
      </c>
      <c r="B579">
        <f>Raw_Data!B579</f>
        <v>63</v>
      </c>
      <c r="C579">
        <f>Raw_Data!D579</f>
        <v>22</v>
      </c>
      <c r="D579">
        <f>Raw_Data!F579</f>
        <v>3</v>
      </c>
      <c r="E579">
        <f>Raw_Data!H579</f>
        <v>0</v>
      </c>
      <c r="F579">
        <f>Raw_Data!G579</f>
        <v>1</v>
      </c>
      <c r="G579">
        <f>Raw_Data!E579</f>
        <v>36086.080000000002</v>
      </c>
      <c r="H579">
        <f>Raw_Data!I579</f>
        <v>131903.85999999999</v>
      </c>
      <c r="I579">
        <f>Raw_Data!J579</f>
        <v>0</v>
      </c>
      <c r="J579">
        <f t="shared" ref="J579:J642" si="19">IF(E579=0,2,0)+IF(D579=4,2,0)+IF(C579&lt;=12,2,0)+IF(B579&gt;=56,1,0)+IF(G579&gt;=40000,1,0)</f>
        <v>3</v>
      </c>
      <c r="K579" t="str">
        <f t="shared" ref="K579:K642" si="20">IF(J579&gt;=5,"High Risk",IF(J579&gt;=3,"Medium Risk","Low Risk"))</f>
        <v>Medium Risk</v>
      </c>
    </row>
    <row r="580" spans="1:11" x14ac:dyDescent="0.35">
      <c r="A580">
        <f>Raw_Data!A580</f>
        <v>579</v>
      </c>
      <c r="B580">
        <f>Raw_Data!B580</f>
        <v>19</v>
      </c>
      <c r="C580">
        <f>Raw_Data!D580</f>
        <v>32</v>
      </c>
      <c r="D580">
        <f>Raw_Data!F580</f>
        <v>4</v>
      </c>
      <c r="E580">
        <f>Raw_Data!H580</f>
        <v>0</v>
      </c>
      <c r="F580">
        <f>Raw_Data!G580</f>
        <v>0</v>
      </c>
      <c r="G580">
        <f>Raw_Data!E580</f>
        <v>13577.35</v>
      </c>
      <c r="H580">
        <f>Raw_Data!I580</f>
        <v>65005.599999999999</v>
      </c>
      <c r="I580">
        <f>Raw_Data!J580</f>
        <v>0</v>
      </c>
      <c r="J580">
        <f t="shared" si="19"/>
        <v>4</v>
      </c>
      <c r="K580" t="str">
        <f t="shared" si="20"/>
        <v>Medium Risk</v>
      </c>
    </row>
    <row r="581" spans="1:11" x14ac:dyDescent="0.35">
      <c r="A581">
        <f>Raw_Data!A581</f>
        <v>580</v>
      </c>
      <c r="B581">
        <f>Raw_Data!B581</f>
        <v>68</v>
      </c>
      <c r="C581">
        <f>Raw_Data!D581</f>
        <v>33</v>
      </c>
      <c r="D581">
        <f>Raw_Data!F581</f>
        <v>3</v>
      </c>
      <c r="E581">
        <f>Raw_Data!H581</f>
        <v>1</v>
      </c>
      <c r="F581">
        <f>Raw_Data!G581</f>
        <v>0</v>
      </c>
      <c r="G581">
        <f>Raw_Data!E581</f>
        <v>20122.330000000002</v>
      </c>
      <c r="H581">
        <f>Raw_Data!I581</f>
        <v>104992.28</v>
      </c>
      <c r="I581">
        <f>Raw_Data!J581</f>
        <v>0</v>
      </c>
      <c r="J581">
        <f t="shared" si="19"/>
        <v>1</v>
      </c>
      <c r="K581" t="str">
        <f t="shared" si="20"/>
        <v>Low Risk</v>
      </c>
    </row>
    <row r="582" spans="1:11" x14ac:dyDescent="0.35">
      <c r="A582">
        <f>Raw_Data!A582</f>
        <v>581</v>
      </c>
      <c r="B582">
        <f>Raw_Data!B582</f>
        <v>67</v>
      </c>
      <c r="C582">
        <f>Raw_Data!D582</f>
        <v>16</v>
      </c>
      <c r="D582">
        <f>Raw_Data!F582</f>
        <v>2</v>
      </c>
      <c r="E582">
        <f>Raw_Data!H582</f>
        <v>1</v>
      </c>
      <c r="F582">
        <f>Raw_Data!G582</f>
        <v>0</v>
      </c>
      <c r="G582">
        <f>Raw_Data!E582</f>
        <v>5137.41</v>
      </c>
      <c r="H582">
        <f>Raw_Data!I582</f>
        <v>65525.83</v>
      </c>
      <c r="I582">
        <f>Raw_Data!J582</f>
        <v>0</v>
      </c>
      <c r="J582">
        <f t="shared" si="19"/>
        <v>1</v>
      </c>
      <c r="K582" t="str">
        <f t="shared" si="20"/>
        <v>Low Risk</v>
      </c>
    </row>
    <row r="583" spans="1:11" x14ac:dyDescent="0.35">
      <c r="A583">
        <f>Raw_Data!A583</f>
        <v>582</v>
      </c>
      <c r="B583">
        <f>Raw_Data!B583</f>
        <v>52</v>
      </c>
      <c r="C583">
        <f>Raw_Data!D583</f>
        <v>38</v>
      </c>
      <c r="D583">
        <f>Raw_Data!F583</f>
        <v>3</v>
      </c>
      <c r="E583">
        <f>Raw_Data!H583</f>
        <v>0</v>
      </c>
      <c r="F583">
        <f>Raw_Data!G583</f>
        <v>0</v>
      </c>
      <c r="G583">
        <f>Raw_Data!E583</f>
        <v>9451.98</v>
      </c>
      <c r="H583">
        <f>Raw_Data!I583</f>
        <v>100238.55</v>
      </c>
      <c r="I583">
        <f>Raw_Data!J583</f>
        <v>0</v>
      </c>
      <c r="J583">
        <f t="shared" si="19"/>
        <v>2</v>
      </c>
      <c r="K583" t="str">
        <f t="shared" si="20"/>
        <v>Low Risk</v>
      </c>
    </row>
    <row r="584" spans="1:11" x14ac:dyDescent="0.35">
      <c r="A584">
        <f>Raw_Data!A584</f>
        <v>583</v>
      </c>
      <c r="B584">
        <f>Raw_Data!B584</f>
        <v>40</v>
      </c>
      <c r="C584">
        <f>Raw_Data!D584</f>
        <v>14</v>
      </c>
      <c r="D584">
        <f>Raw_Data!F584</f>
        <v>2</v>
      </c>
      <c r="E584">
        <f>Raw_Data!H584</f>
        <v>1</v>
      </c>
      <c r="F584">
        <f>Raw_Data!G584</f>
        <v>0</v>
      </c>
      <c r="G584">
        <f>Raw_Data!E584</f>
        <v>39150.83</v>
      </c>
      <c r="H584">
        <f>Raw_Data!I584</f>
        <v>135025.03</v>
      </c>
      <c r="I584">
        <f>Raw_Data!J584</f>
        <v>0</v>
      </c>
      <c r="J584">
        <f t="shared" si="19"/>
        <v>0</v>
      </c>
      <c r="K584" t="str">
        <f t="shared" si="20"/>
        <v>Low Risk</v>
      </c>
    </row>
    <row r="585" spans="1:11" x14ac:dyDescent="0.35">
      <c r="A585">
        <f>Raw_Data!A585</f>
        <v>584</v>
      </c>
      <c r="B585">
        <f>Raw_Data!B585</f>
        <v>34</v>
      </c>
      <c r="C585">
        <f>Raw_Data!D585</f>
        <v>36</v>
      </c>
      <c r="D585">
        <f>Raw_Data!F585</f>
        <v>2</v>
      </c>
      <c r="E585">
        <f>Raw_Data!H585</f>
        <v>0</v>
      </c>
      <c r="F585">
        <f>Raw_Data!G585</f>
        <v>0</v>
      </c>
      <c r="G585">
        <f>Raw_Data!E585</f>
        <v>35751.94</v>
      </c>
      <c r="H585">
        <f>Raw_Data!I585</f>
        <v>50076.49</v>
      </c>
      <c r="I585">
        <f>Raw_Data!J585</f>
        <v>0</v>
      </c>
      <c r="J585">
        <f t="shared" si="19"/>
        <v>2</v>
      </c>
      <c r="K585" t="str">
        <f t="shared" si="20"/>
        <v>Low Risk</v>
      </c>
    </row>
    <row r="586" spans="1:11" x14ac:dyDescent="0.35">
      <c r="A586">
        <f>Raw_Data!A586</f>
        <v>585</v>
      </c>
      <c r="B586">
        <f>Raw_Data!B586</f>
        <v>43</v>
      </c>
      <c r="C586">
        <f>Raw_Data!D586</f>
        <v>23</v>
      </c>
      <c r="D586">
        <f>Raw_Data!F586</f>
        <v>4</v>
      </c>
      <c r="E586">
        <f>Raw_Data!H586</f>
        <v>1</v>
      </c>
      <c r="F586">
        <f>Raw_Data!G586</f>
        <v>1</v>
      </c>
      <c r="G586">
        <f>Raw_Data!E586</f>
        <v>29674.29</v>
      </c>
      <c r="H586">
        <f>Raw_Data!I586</f>
        <v>72551.41</v>
      </c>
      <c r="I586">
        <f>Raw_Data!J586</f>
        <v>0</v>
      </c>
      <c r="J586">
        <f t="shared" si="19"/>
        <v>2</v>
      </c>
      <c r="K586" t="str">
        <f t="shared" si="20"/>
        <v>Low Risk</v>
      </c>
    </row>
    <row r="587" spans="1:11" x14ac:dyDescent="0.35">
      <c r="A587">
        <f>Raw_Data!A587</f>
        <v>586</v>
      </c>
      <c r="B587">
        <f>Raw_Data!B587</f>
        <v>25</v>
      </c>
      <c r="C587">
        <f>Raw_Data!D587</f>
        <v>66</v>
      </c>
      <c r="D587">
        <f>Raw_Data!F587</f>
        <v>1</v>
      </c>
      <c r="E587">
        <f>Raw_Data!H587</f>
        <v>1</v>
      </c>
      <c r="F587">
        <f>Raw_Data!G587</f>
        <v>1</v>
      </c>
      <c r="G587">
        <f>Raw_Data!E587</f>
        <v>44786.34</v>
      </c>
      <c r="H587">
        <f>Raw_Data!I587</f>
        <v>149124.48000000001</v>
      </c>
      <c r="I587">
        <f>Raw_Data!J587</f>
        <v>0</v>
      </c>
      <c r="J587">
        <f t="shared" si="19"/>
        <v>1</v>
      </c>
      <c r="K587" t="str">
        <f t="shared" si="20"/>
        <v>Low Risk</v>
      </c>
    </row>
    <row r="588" spans="1:11" x14ac:dyDescent="0.35">
      <c r="A588">
        <f>Raw_Data!A588</f>
        <v>587</v>
      </c>
      <c r="B588">
        <f>Raw_Data!B588</f>
        <v>46</v>
      </c>
      <c r="C588">
        <f>Raw_Data!D588</f>
        <v>2</v>
      </c>
      <c r="D588">
        <f>Raw_Data!F588</f>
        <v>1</v>
      </c>
      <c r="E588">
        <f>Raw_Data!H588</f>
        <v>1</v>
      </c>
      <c r="F588">
        <f>Raw_Data!G588</f>
        <v>1</v>
      </c>
      <c r="G588">
        <f>Raw_Data!E588</f>
        <v>29163.33</v>
      </c>
      <c r="H588">
        <f>Raw_Data!I588</f>
        <v>132912.41</v>
      </c>
      <c r="I588">
        <f>Raw_Data!J588</f>
        <v>0</v>
      </c>
      <c r="J588">
        <f t="shared" si="19"/>
        <v>2</v>
      </c>
      <c r="K588" t="str">
        <f t="shared" si="20"/>
        <v>Low Risk</v>
      </c>
    </row>
    <row r="589" spans="1:11" x14ac:dyDescent="0.35">
      <c r="A589">
        <f>Raw_Data!A589</f>
        <v>588</v>
      </c>
      <c r="B589">
        <f>Raw_Data!B589</f>
        <v>43</v>
      </c>
      <c r="C589">
        <f>Raw_Data!D589</f>
        <v>65</v>
      </c>
      <c r="D589">
        <f>Raw_Data!F589</f>
        <v>4</v>
      </c>
      <c r="E589">
        <f>Raw_Data!H589</f>
        <v>1</v>
      </c>
      <c r="F589">
        <f>Raw_Data!G589</f>
        <v>0</v>
      </c>
      <c r="G589">
        <f>Raw_Data!E589</f>
        <v>23348.400000000001</v>
      </c>
      <c r="H589">
        <f>Raw_Data!I589</f>
        <v>93403.18</v>
      </c>
      <c r="I589">
        <f>Raw_Data!J589</f>
        <v>0</v>
      </c>
      <c r="J589">
        <f t="shared" si="19"/>
        <v>2</v>
      </c>
      <c r="K589" t="str">
        <f t="shared" si="20"/>
        <v>Low Risk</v>
      </c>
    </row>
    <row r="590" spans="1:11" x14ac:dyDescent="0.35">
      <c r="A590">
        <f>Raw_Data!A590</f>
        <v>589</v>
      </c>
      <c r="B590">
        <f>Raw_Data!B590</f>
        <v>27</v>
      </c>
      <c r="C590">
        <f>Raw_Data!D590</f>
        <v>67</v>
      </c>
      <c r="D590">
        <f>Raw_Data!F590</f>
        <v>3</v>
      </c>
      <c r="E590">
        <f>Raw_Data!H590</f>
        <v>1</v>
      </c>
      <c r="F590">
        <f>Raw_Data!G590</f>
        <v>0</v>
      </c>
      <c r="G590">
        <f>Raw_Data!E590</f>
        <v>17018.54</v>
      </c>
      <c r="H590">
        <f>Raw_Data!I590</f>
        <v>87161.59</v>
      </c>
      <c r="I590">
        <f>Raw_Data!J590</f>
        <v>0</v>
      </c>
      <c r="J590">
        <f t="shared" si="19"/>
        <v>0</v>
      </c>
      <c r="K590" t="str">
        <f t="shared" si="20"/>
        <v>Low Risk</v>
      </c>
    </row>
    <row r="591" spans="1:11" x14ac:dyDescent="0.35">
      <c r="A591">
        <f>Raw_Data!A591</f>
        <v>590</v>
      </c>
      <c r="B591">
        <f>Raw_Data!B591</f>
        <v>43</v>
      </c>
      <c r="C591">
        <f>Raw_Data!D591</f>
        <v>52</v>
      </c>
      <c r="D591">
        <f>Raw_Data!F591</f>
        <v>4</v>
      </c>
      <c r="E591">
        <f>Raw_Data!H591</f>
        <v>1</v>
      </c>
      <c r="F591">
        <f>Raw_Data!G591</f>
        <v>0</v>
      </c>
      <c r="G591">
        <f>Raw_Data!E591</f>
        <v>47022.43</v>
      </c>
      <c r="H591">
        <f>Raw_Data!I591</f>
        <v>56998.05</v>
      </c>
      <c r="I591">
        <f>Raw_Data!J591</f>
        <v>0</v>
      </c>
      <c r="J591">
        <f t="shared" si="19"/>
        <v>3</v>
      </c>
      <c r="K591" t="str">
        <f t="shared" si="20"/>
        <v>Medium Risk</v>
      </c>
    </row>
    <row r="592" spans="1:11" x14ac:dyDescent="0.35">
      <c r="A592">
        <f>Raw_Data!A592</f>
        <v>591</v>
      </c>
      <c r="B592">
        <f>Raw_Data!B592</f>
        <v>51</v>
      </c>
      <c r="C592">
        <f>Raw_Data!D592</f>
        <v>62</v>
      </c>
      <c r="D592">
        <f>Raw_Data!F592</f>
        <v>2</v>
      </c>
      <c r="E592">
        <f>Raw_Data!H592</f>
        <v>0</v>
      </c>
      <c r="F592">
        <f>Raw_Data!G592</f>
        <v>1</v>
      </c>
      <c r="G592">
        <f>Raw_Data!E592</f>
        <v>4135.7700000000004</v>
      </c>
      <c r="H592">
        <f>Raw_Data!I592</f>
        <v>87237.23</v>
      </c>
      <c r="I592">
        <f>Raw_Data!J592</f>
        <v>0</v>
      </c>
      <c r="J592">
        <f t="shared" si="19"/>
        <v>2</v>
      </c>
      <c r="K592" t="str">
        <f t="shared" si="20"/>
        <v>Low Risk</v>
      </c>
    </row>
    <row r="593" spans="1:11" x14ac:dyDescent="0.35">
      <c r="A593">
        <f>Raw_Data!A593</f>
        <v>592</v>
      </c>
      <c r="B593">
        <f>Raw_Data!B593</f>
        <v>68</v>
      </c>
      <c r="C593">
        <f>Raw_Data!D593</f>
        <v>23</v>
      </c>
      <c r="D593">
        <f>Raw_Data!F593</f>
        <v>1</v>
      </c>
      <c r="E593">
        <f>Raw_Data!H593</f>
        <v>0</v>
      </c>
      <c r="F593">
        <f>Raw_Data!G593</f>
        <v>1</v>
      </c>
      <c r="G593">
        <f>Raw_Data!E593</f>
        <v>46544.37</v>
      </c>
      <c r="H593">
        <f>Raw_Data!I593</f>
        <v>130263.59</v>
      </c>
      <c r="I593">
        <f>Raw_Data!J593</f>
        <v>0</v>
      </c>
      <c r="J593">
        <f t="shared" si="19"/>
        <v>4</v>
      </c>
      <c r="K593" t="str">
        <f t="shared" si="20"/>
        <v>Medium Risk</v>
      </c>
    </row>
    <row r="594" spans="1:11" x14ac:dyDescent="0.35">
      <c r="A594">
        <f>Raw_Data!A594</f>
        <v>593</v>
      </c>
      <c r="B594">
        <f>Raw_Data!B594</f>
        <v>58</v>
      </c>
      <c r="C594">
        <f>Raw_Data!D594</f>
        <v>26</v>
      </c>
      <c r="D594">
        <f>Raw_Data!F594</f>
        <v>4</v>
      </c>
      <c r="E594">
        <f>Raw_Data!H594</f>
        <v>1</v>
      </c>
      <c r="F594">
        <f>Raw_Data!G594</f>
        <v>0</v>
      </c>
      <c r="G594">
        <f>Raw_Data!E594</f>
        <v>41335.730000000003</v>
      </c>
      <c r="H594">
        <f>Raw_Data!I594</f>
        <v>109072.69</v>
      </c>
      <c r="I594">
        <f>Raw_Data!J594</f>
        <v>0</v>
      </c>
      <c r="J594">
        <f t="shared" si="19"/>
        <v>4</v>
      </c>
      <c r="K594" t="str">
        <f t="shared" si="20"/>
        <v>Medium Risk</v>
      </c>
    </row>
    <row r="595" spans="1:11" x14ac:dyDescent="0.35">
      <c r="A595">
        <f>Raw_Data!A595</f>
        <v>594</v>
      </c>
      <c r="B595">
        <f>Raw_Data!B595</f>
        <v>24</v>
      </c>
      <c r="C595">
        <f>Raw_Data!D595</f>
        <v>68</v>
      </c>
      <c r="D595">
        <f>Raw_Data!F595</f>
        <v>3</v>
      </c>
      <c r="E595">
        <f>Raw_Data!H595</f>
        <v>0</v>
      </c>
      <c r="F595">
        <f>Raw_Data!G595</f>
        <v>0</v>
      </c>
      <c r="G595">
        <f>Raw_Data!E595</f>
        <v>6496.5</v>
      </c>
      <c r="H595">
        <f>Raw_Data!I595</f>
        <v>57705.72</v>
      </c>
      <c r="I595">
        <f>Raw_Data!J595</f>
        <v>0</v>
      </c>
      <c r="J595">
        <f t="shared" si="19"/>
        <v>2</v>
      </c>
      <c r="K595" t="str">
        <f t="shared" si="20"/>
        <v>Low Risk</v>
      </c>
    </row>
    <row r="596" spans="1:11" x14ac:dyDescent="0.35">
      <c r="A596">
        <f>Raw_Data!A596</f>
        <v>595</v>
      </c>
      <c r="B596">
        <f>Raw_Data!B596</f>
        <v>21</v>
      </c>
      <c r="C596">
        <f>Raw_Data!D596</f>
        <v>55</v>
      </c>
      <c r="D596">
        <f>Raw_Data!F596</f>
        <v>4</v>
      </c>
      <c r="E596">
        <f>Raw_Data!H596</f>
        <v>1</v>
      </c>
      <c r="F596">
        <f>Raw_Data!G596</f>
        <v>1</v>
      </c>
      <c r="G596">
        <f>Raw_Data!E596</f>
        <v>28249.22</v>
      </c>
      <c r="H596">
        <f>Raw_Data!I596</f>
        <v>46190.31</v>
      </c>
      <c r="I596">
        <f>Raw_Data!J596</f>
        <v>0</v>
      </c>
      <c r="J596">
        <f t="shared" si="19"/>
        <v>2</v>
      </c>
      <c r="K596" t="str">
        <f t="shared" si="20"/>
        <v>Low Risk</v>
      </c>
    </row>
    <row r="597" spans="1:11" x14ac:dyDescent="0.35">
      <c r="A597">
        <f>Raw_Data!A597</f>
        <v>596</v>
      </c>
      <c r="B597">
        <f>Raw_Data!B597</f>
        <v>67</v>
      </c>
      <c r="C597">
        <f>Raw_Data!D597</f>
        <v>6</v>
      </c>
      <c r="D597">
        <f>Raw_Data!F597</f>
        <v>1</v>
      </c>
      <c r="E597">
        <f>Raw_Data!H597</f>
        <v>0</v>
      </c>
      <c r="F597">
        <f>Raw_Data!G597</f>
        <v>1</v>
      </c>
      <c r="G597">
        <f>Raw_Data!E597</f>
        <v>43327.4</v>
      </c>
      <c r="H597">
        <f>Raw_Data!I597</f>
        <v>54477.11</v>
      </c>
      <c r="I597">
        <f>Raw_Data!J597</f>
        <v>0</v>
      </c>
      <c r="J597">
        <f t="shared" si="19"/>
        <v>6</v>
      </c>
      <c r="K597" t="str">
        <f t="shared" si="20"/>
        <v>High Risk</v>
      </c>
    </row>
    <row r="598" spans="1:11" x14ac:dyDescent="0.35">
      <c r="A598">
        <f>Raw_Data!A598</f>
        <v>597</v>
      </c>
      <c r="B598">
        <f>Raw_Data!B598</f>
        <v>62</v>
      </c>
      <c r="C598">
        <f>Raw_Data!D598</f>
        <v>35</v>
      </c>
      <c r="D598">
        <f>Raw_Data!F598</f>
        <v>4</v>
      </c>
      <c r="E598">
        <f>Raw_Data!H598</f>
        <v>1</v>
      </c>
      <c r="F598">
        <f>Raw_Data!G598</f>
        <v>1</v>
      </c>
      <c r="G598">
        <f>Raw_Data!E598</f>
        <v>28590.46</v>
      </c>
      <c r="H598">
        <f>Raw_Data!I598</f>
        <v>42068.7</v>
      </c>
      <c r="I598">
        <f>Raw_Data!J598</f>
        <v>0</v>
      </c>
      <c r="J598">
        <f t="shared" si="19"/>
        <v>3</v>
      </c>
      <c r="K598" t="str">
        <f t="shared" si="20"/>
        <v>Medium Risk</v>
      </c>
    </row>
    <row r="599" spans="1:11" x14ac:dyDescent="0.35">
      <c r="A599">
        <f>Raw_Data!A599</f>
        <v>598</v>
      </c>
      <c r="B599">
        <f>Raw_Data!B599</f>
        <v>28</v>
      </c>
      <c r="C599">
        <f>Raw_Data!D599</f>
        <v>22</v>
      </c>
      <c r="D599">
        <f>Raw_Data!F599</f>
        <v>4</v>
      </c>
      <c r="E599">
        <f>Raw_Data!H599</f>
        <v>0</v>
      </c>
      <c r="F599">
        <f>Raw_Data!G599</f>
        <v>0</v>
      </c>
      <c r="G599">
        <f>Raw_Data!E599</f>
        <v>45359.99</v>
      </c>
      <c r="H599">
        <f>Raw_Data!I599</f>
        <v>32433.29</v>
      </c>
      <c r="I599">
        <f>Raw_Data!J599</f>
        <v>0</v>
      </c>
      <c r="J599">
        <f t="shared" si="19"/>
        <v>5</v>
      </c>
      <c r="K599" t="str">
        <f t="shared" si="20"/>
        <v>High Risk</v>
      </c>
    </row>
    <row r="600" spans="1:11" x14ac:dyDescent="0.35">
      <c r="A600">
        <f>Raw_Data!A600</f>
        <v>599</v>
      </c>
      <c r="B600">
        <f>Raw_Data!B600</f>
        <v>46</v>
      </c>
      <c r="C600">
        <f>Raw_Data!D600</f>
        <v>43</v>
      </c>
      <c r="D600">
        <f>Raw_Data!F600</f>
        <v>1</v>
      </c>
      <c r="E600">
        <f>Raw_Data!H600</f>
        <v>1</v>
      </c>
      <c r="F600">
        <f>Raw_Data!G600</f>
        <v>0</v>
      </c>
      <c r="G600">
        <f>Raw_Data!E600</f>
        <v>47149.19</v>
      </c>
      <c r="H600">
        <f>Raw_Data!I600</f>
        <v>74487.7</v>
      </c>
      <c r="I600">
        <f>Raw_Data!J600</f>
        <v>0</v>
      </c>
      <c r="J600">
        <f t="shared" si="19"/>
        <v>1</v>
      </c>
      <c r="K600" t="str">
        <f t="shared" si="20"/>
        <v>Low Risk</v>
      </c>
    </row>
    <row r="601" spans="1:11" x14ac:dyDescent="0.35">
      <c r="A601">
        <f>Raw_Data!A601</f>
        <v>600</v>
      </c>
      <c r="B601">
        <f>Raw_Data!B601</f>
        <v>53</v>
      </c>
      <c r="C601">
        <f>Raw_Data!D601</f>
        <v>15</v>
      </c>
      <c r="D601">
        <f>Raw_Data!F601</f>
        <v>2</v>
      </c>
      <c r="E601">
        <f>Raw_Data!H601</f>
        <v>0</v>
      </c>
      <c r="F601">
        <f>Raw_Data!G601</f>
        <v>0</v>
      </c>
      <c r="G601">
        <f>Raw_Data!E601</f>
        <v>21119.23</v>
      </c>
      <c r="H601">
        <f>Raw_Data!I601</f>
        <v>34728.949999999997</v>
      </c>
      <c r="I601">
        <f>Raw_Data!J601</f>
        <v>0</v>
      </c>
      <c r="J601">
        <f t="shared" si="19"/>
        <v>2</v>
      </c>
      <c r="K601" t="str">
        <f t="shared" si="20"/>
        <v>Low Risk</v>
      </c>
    </row>
    <row r="602" spans="1:11" x14ac:dyDescent="0.35">
      <c r="A602">
        <f>Raw_Data!A602</f>
        <v>601</v>
      </c>
      <c r="B602">
        <f>Raw_Data!B602</f>
        <v>42</v>
      </c>
      <c r="C602">
        <f>Raw_Data!D602</f>
        <v>60</v>
      </c>
      <c r="D602">
        <f>Raw_Data!F602</f>
        <v>2</v>
      </c>
      <c r="E602">
        <f>Raw_Data!H602</f>
        <v>1</v>
      </c>
      <c r="F602">
        <f>Raw_Data!G602</f>
        <v>1</v>
      </c>
      <c r="G602">
        <f>Raw_Data!E602</f>
        <v>18865.68</v>
      </c>
      <c r="H602">
        <f>Raw_Data!I602</f>
        <v>42348.63</v>
      </c>
      <c r="I602">
        <f>Raw_Data!J602</f>
        <v>0</v>
      </c>
      <c r="J602">
        <f t="shared" si="19"/>
        <v>0</v>
      </c>
      <c r="K602" t="str">
        <f t="shared" si="20"/>
        <v>Low Risk</v>
      </c>
    </row>
    <row r="603" spans="1:11" x14ac:dyDescent="0.35">
      <c r="A603">
        <f>Raw_Data!A603</f>
        <v>602</v>
      </c>
      <c r="B603">
        <f>Raw_Data!B603</f>
        <v>38</v>
      </c>
      <c r="C603">
        <f>Raw_Data!D603</f>
        <v>12</v>
      </c>
      <c r="D603">
        <f>Raw_Data!F603</f>
        <v>1</v>
      </c>
      <c r="E603">
        <f>Raw_Data!H603</f>
        <v>0</v>
      </c>
      <c r="F603">
        <f>Raw_Data!G603</f>
        <v>1</v>
      </c>
      <c r="G603">
        <f>Raw_Data!E603</f>
        <v>46816.06</v>
      </c>
      <c r="H603">
        <f>Raw_Data!I603</f>
        <v>91152.21</v>
      </c>
      <c r="I603">
        <f>Raw_Data!J603</f>
        <v>0</v>
      </c>
      <c r="J603">
        <f t="shared" si="19"/>
        <v>5</v>
      </c>
      <c r="K603" t="str">
        <f t="shared" si="20"/>
        <v>High Risk</v>
      </c>
    </row>
    <row r="604" spans="1:11" x14ac:dyDescent="0.35">
      <c r="A604">
        <f>Raw_Data!A604</f>
        <v>603</v>
      </c>
      <c r="B604">
        <f>Raw_Data!B604</f>
        <v>53</v>
      </c>
      <c r="C604">
        <f>Raw_Data!D604</f>
        <v>49</v>
      </c>
      <c r="D604">
        <f>Raw_Data!F604</f>
        <v>4</v>
      </c>
      <c r="E604">
        <f>Raw_Data!H604</f>
        <v>1</v>
      </c>
      <c r="F604">
        <f>Raw_Data!G604</f>
        <v>0</v>
      </c>
      <c r="G604">
        <f>Raw_Data!E604</f>
        <v>33757</v>
      </c>
      <c r="H604">
        <f>Raw_Data!I604</f>
        <v>41397.910000000003</v>
      </c>
      <c r="I604">
        <f>Raw_Data!J604</f>
        <v>0</v>
      </c>
      <c r="J604">
        <f t="shared" si="19"/>
        <v>2</v>
      </c>
      <c r="K604" t="str">
        <f t="shared" si="20"/>
        <v>Low Risk</v>
      </c>
    </row>
    <row r="605" spans="1:11" x14ac:dyDescent="0.35">
      <c r="A605">
        <f>Raw_Data!A605</f>
        <v>604</v>
      </c>
      <c r="B605">
        <f>Raw_Data!B605</f>
        <v>27</v>
      </c>
      <c r="C605">
        <f>Raw_Data!D605</f>
        <v>42</v>
      </c>
      <c r="D605">
        <f>Raw_Data!F605</f>
        <v>1</v>
      </c>
      <c r="E605">
        <f>Raw_Data!H605</f>
        <v>1</v>
      </c>
      <c r="F605">
        <f>Raw_Data!G605</f>
        <v>0</v>
      </c>
      <c r="G605">
        <f>Raw_Data!E605</f>
        <v>5801.13</v>
      </c>
      <c r="H605">
        <f>Raw_Data!I605</f>
        <v>28304.37</v>
      </c>
      <c r="I605">
        <f>Raw_Data!J605</f>
        <v>0</v>
      </c>
      <c r="J605">
        <f t="shared" si="19"/>
        <v>0</v>
      </c>
      <c r="K605" t="str">
        <f t="shared" si="20"/>
        <v>Low Risk</v>
      </c>
    </row>
    <row r="606" spans="1:11" x14ac:dyDescent="0.35">
      <c r="A606">
        <f>Raw_Data!A606</f>
        <v>605</v>
      </c>
      <c r="B606">
        <f>Raw_Data!B606</f>
        <v>54</v>
      </c>
      <c r="C606">
        <f>Raw_Data!D606</f>
        <v>38</v>
      </c>
      <c r="D606">
        <f>Raw_Data!F606</f>
        <v>2</v>
      </c>
      <c r="E606">
        <f>Raw_Data!H606</f>
        <v>1</v>
      </c>
      <c r="F606">
        <f>Raw_Data!G606</f>
        <v>1</v>
      </c>
      <c r="G606">
        <f>Raw_Data!E606</f>
        <v>2114.59</v>
      </c>
      <c r="H606">
        <f>Raw_Data!I606</f>
        <v>61260.55</v>
      </c>
      <c r="I606">
        <f>Raw_Data!J606</f>
        <v>0</v>
      </c>
      <c r="J606">
        <f t="shared" si="19"/>
        <v>0</v>
      </c>
      <c r="K606" t="str">
        <f t="shared" si="20"/>
        <v>Low Risk</v>
      </c>
    </row>
    <row r="607" spans="1:11" x14ac:dyDescent="0.35">
      <c r="A607">
        <f>Raw_Data!A607</f>
        <v>606</v>
      </c>
      <c r="B607">
        <f>Raw_Data!B607</f>
        <v>26</v>
      </c>
      <c r="C607">
        <f>Raw_Data!D607</f>
        <v>45</v>
      </c>
      <c r="D607">
        <f>Raw_Data!F607</f>
        <v>3</v>
      </c>
      <c r="E607">
        <f>Raw_Data!H607</f>
        <v>0</v>
      </c>
      <c r="F607">
        <f>Raw_Data!G607</f>
        <v>0</v>
      </c>
      <c r="G607">
        <f>Raw_Data!E607</f>
        <v>28231.45</v>
      </c>
      <c r="H607">
        <f>Raw_Data!I607</f>
        <v>48641.48</v>
      </c>
      <c r="I607">
        <f>Raw_Data!J607</f>
        <v>0</v>
      </c>
      <c r="J607">
        <f t="shared" si="19"/>
        <v>2</v>
      </c>
      <c r="K607" t="str">
        <f t="shared" si="20"/>
        <v>Low Risk</v>
      </c>
    </row>
    <row r="608" spans="1:11" x14ac:dyDescent="0.35">
      <c r="A608">
        <f>Raw_Data!A608</f>
        <v>607</v>
      </c>
      <c r="B608">
        <f>Raw_Data!B608</f>
        <v>41</v>
      </c>
      <c r="C608">
        <f>Raw_Data!D608</f>
        <v>35</v>
      </c>
      <c r="D608">
        <f>Raw_Data!F608</f>
        <v>4</v>
      </c>
      <c r="E608">
        <f>Raw_Data!H608</f>
        <v>0</v>
      </c>
      <c r="F608">
        <f>Raw_Data!G608</f>
        <v>1</v>
      </c>
      <c r="G608">
        <f>Raw_Data!E608</f>
        <v>46508.55</v>
      </c>
      <c r="H608">
        <f>Raw_Data!I608</f>
        <v>86989.67</v>
      </c>
      <c r="I608">
        <f>Raw_Data!J608</f>
        <v>0</v>
      </c>
      <c r="J608">
        <f t="shared" si="19"/>
        <v>5</v>
      </c>
      <c r="K608" t="str">
        <f t="shared" si="20"/>
        <v>High Risk</v>
      </c>
    </row>
    <row r="609" spans="1:11" x14ac:dyDescent="0.35">
      <c r="A609">
        <f>Raw_Data!A609</f>
        <v>608</v>
      </c>
      <c r="B609">
        <f>Raw_Data!B609</f>
        <v>52</v>
      </c>
      <c r="C609">
        <f>Raw_Data!D609</f>
        <v>30</v>
      </c>
      <c r="D609">
        <f>Raw_Data!F609</f>
        <v>2</v>
      </c>
      <c r="E609">
        <f>Raw_Data!H609</f>
        <v>0</v>
      </c>
      <c r="F609">
        <f>Raw_Data!G609</f>
        <v>1</v>
      </c>
      <c r="G609">
        <f>Raw_Data!E609</f>
        <v>42212.44</v>
      </c>
      <c r="H609">
        <f>Raw_Data!I609</f>
        <v>33307.72</v>
      </c>
      <c r="I609">
        <f>Raw_Data!J609</f>
        <v>0</v>
      </c>
      <c r="J609">
        <f t="shared" si="19"/>
        <v>3</v>
      </c>
      <c r="K609" t="str">
        <f t="shared" si="20"/>
        <v>Medium Risk</v>
      </c>
    </row>
    <row r="610" spans="1:11" x14ac:dyDescent="0.35">
      <c r="A610">
        <f>Raw_Data!A610</f>
        <v>609</v>
      </c>
      <c r="B610">
        <f>Raw_Data!B610</f>
        <v>66</v>
      </c>
      <c r="C610">
        <f>Raw_Data!D610</f>
        <v>30</v>
      </c>
      <c r="D610">
        <f>Raw_Data!F610</f>
        <v>4</v>
      </c>
      <c r="E610">
        <f>Raw_Data!H610</f>
        <v>1</v>
      </c>
      <c r="F610">
        <f>Raw_Data!G610</f>
        <v>0</v>
      </c>
      <c r="G610">
        <f>Raw_Data!E610</f>
        <v>33792.39</v>
      </c>
      <c r="H610">
        <f>Raw_Data!I610</f>
        <v>117730.2</v>
      </c>
      <c r="I610">
        <f>Raw_Data!J610</f>
        <v>0</v>
      </c>
      <c r="J610">
        <f t="shared" si="19"/>
        <v>3</v>
      </c>
      <c r="K610" t="str">
        <f t="shared" si="20"/>
        <v>Medium Risk</v>
      </c>
    </row>
    <row r="611" spans="1:11" x14ac:dyDescent="0.35">
      <c r="A611">
        <f>Raw_Data!A611</f>
        <v>610</v>
      </c>
      <c r="B611">
        <f>Raw_Data!B611</f>
        <v>52</v>
      </c>
      <c r="C611">
        <f>Raw_Data!D611</f>
        <v>6</v>
      </c>
      <c r="D611">
        <f>Raw_Data!F611</f>
        <v>1</v>
      </c>
      <c r="E611">
        <f>Raw_Data!H611</f>
        <v>0</v>
      </c>
      <c r="F611">
        <f>Raw_Data!G611</f>
        <v>1</v>
      </c>
      <c r="G611">
        <f>Raw_Data!E611</f>
        <v>6955.79</v>
      </c>
      <c r="H611">
        <f>Raw_Data!I611</f>
        <v>137810.35999999999</v>
      </c>
      <c r="I611">
        <f>Raw_Data!J611</f>
        <v>1</v>
      </c>
      <c r="J611">
        <f t="shared" si="19"/>
        <v>4</v>
      </c>
      <c r="K611" t="str">
        <f t="shared" si="20"/>
        <v>Medium Risk</v>
      </c>
    </row>
    <row r="612" spans="1:11" x14ac:dyDescent="0.35">
      <c r="A612">
        <f>Raw_Data!A612</f>
        <v>611</v>
      </c>
      <c r="B612">
        <f>Raw_Data!B612</f>
        <v>65</v>
      </c>
      <c r="C612">
        <f>Raw_Data!D612</f>
        <v>67</v>
      </c>
      <c r="D612">
        <f>Raw_Data!F612</f>
        <v>3</v>
      </c>
      <c r="E612">
        <f>Raw_Data!H612</f>
        <v>1</v>
      </c>
      <c r="F612">
        <f>Raw_Data!G612</f>
        <v>0</v>
      </c>
      <c r="G612">
        <f>Raw_Data!E612</f>
        <v>12711.57</v>
      </c>
      <c r="H612">
        <f>Raw_Data!I612</f>
        <v>116646.57</v>
      </c>
      <c r="I612">
        <f>Raw_Data!J612</f>
        <v>0</v>
      </c>
      <c r="J612">
        <f t="shared" si="19"/>
        <v>1</v>
      </c>
      <c r="K612" t="str">
        <f t="shared" si="20"/>
        <v>Low Risk</v>
      </c>
    </row>
    <row r="613" spans="1:11" x14ac:dyDescent="0.35">
      <c r="A613">
        <f>Raw_Data!A613</f>
        <v>612</v>
      </c>
      <c r="B613">
        <f>Raw_Data!B613</f>
        <v>53</v>
      </c>
      <c r="C613">
        <f>Raw_Data!D613</f>
        <v>7</v>
      </c>
      <c r="D613">
        <f>Raw_Data!F613</f>
        <v>1</v>
      </c>
      <c r="E613">
        <f>Raw_Data!H613</f>
        <v>0</v>
      </c>
      <c r="F613">
        <f>Raw_Data!G613</f>
        <v>1</v>
      </c>
      <c r="G613">
        <f>Raw_Data!E613</f>
        <v>43775.56</v>
      </c>
      <c r="H613">
        <f>Raw_Data!I613</f>
        <v>89267.51</v>
      </c>
      <c r="I613">
        <f>Raw_Data!J613</f>
        <v>0</v>
      </c>
      <c r="J613">
        <f t="shared" si="19"/>
        <v>5</v>
      </c>
      <c r="K613" t="str">
        <f t="shared" si="20"/>
        <v>High Risk</v>
      </c>
    </row>
    <row r="614" spans="1:11" x14ac:dyDescent="0.35">
      <c r="A614">
        <f>Raw_Data!A614</f>
        <v>613</v>
      </c>
      <c r="B614">
        <f>Raw_Data!B614</f>
        <v>35</v>
      </c>
      <c r="C614">
        <f>Raw_Data!D614</f>
        <v>52</v>
      </c>
      <c r="D614">
        <f>Raw_Data!F614</f>
        <v>3</v>
      </c>
      <c r="E614">
        <f>Raw_Data!H614</f>
        <v>0</v>
      </c>
      <c r="F614">
        <f>Raw_Data!G614</f>
        <v>1</v>
      </c>
      <c r="G614">
        <f>Raw_Data!E614</f>
        <v>9140.36</v>
      </c>
      <c r="H614">
        <f>Raw_Data!I614</f>
        <v>131886.82</v>
      </c>
      <c r="I614">
        <f>Raw_Data!J614</f>
        <v>0</v>
      </c>
      <c r="J614">
        <f t="shared" si="19"/>
        <v>2</v>
      </c>
      <c r="K614" t="str">
        <f t="shared" si="20"/>
        <v>Low Risk</v>
      </c>
    </row>
    <row r="615" spans="1:11" x14ac:dyDescent="0.35">
      <c r="A615">
        <f>Raw_Data!A615</f>
        <v>614</v>
      </c>
      <c r="B615">
        <f>Raw_Data!B615</f>
        <v>66</v>
      </c>
      <c r="C615">
        <f>Raw_Data!D615</f>
        <v>14</v>
      </c>
      <c r="D615">
        <f>Raw_Data!F615</f>
        <v>4</v>
      </c>
      <c r="E615">
        <f>Raw_Data!H615</f>
        <v>0</v>
      </c>
      <c r="F615">
        <f>Raw_Data!G615</f>
        <v>0</v>
      </c>
      <c r="G615">
        <f>Raw_Data!E615</f>
        <v>13921.97</v>
      </c>
      <c r="H615">
        <f>Raw_Data!I615</f>
        <v>110339.39</v>
      </c>
      <c r="I615">
        <f>Raw_Data!J615</f>
        <v>0</v>
      </c>
      <c r="J615">
        <f t="shared" si="19"/>
        <v>5</v>
      </c>
      <c r="K615" t="str">
        <f t="shared" si="20"/>
        <v>High Risk</v>
      </c>
    </row>
    <row r="616" spans="1:11" x14ac:dyDescent="0.35">
      <c r="A616">
        <f>Raw_Data!A616</f>
        <v>615</v>
      </c>
      <c r="B616">
        <f>Raw_Data!B616</f>
        <v>56</v>
      </c>
      <c r="C616">
        <f>Raw_Data!D616</f>
        <v>15</v>
      </c>
      <c r="D616">
        <f>Raw_Data!F616</f>
        <v>4</v>
      </c>
      <c r="E616">
        <f>Raw_Data!H616</f>
        <v>0</v>
      </c>
      <c r="F616">
        <f>Raw_Data!G616</f>
        <v>1</v>
      </c>
      <c r="G616">
        <f>Raw_Data!E616</f>
        <v>6480.03</v>
      </c>
      <c r="H616">
        <f>Raw_Data!I616</f>
        <v>21371.65</v>
      </c>
      <c r="I616">
        <f>Raw_Data!J616</f>
        <v>0</v>
      </c>
      <c r="J616">
        <f t="shared" si="19"/>
        <v>5</v>
      </c>
      <c r="K616" t="str">
        <f t="shared" si="20"/>
        <v>High Risk</v>
      </c>
    </row>
    <row r="617" spans="1:11" x14ac:dyDescent="0.35">
      <c r="A617">
        <f>Raw_Data!A617</f>
        <v>616</v>
      </c>
      <c r="B617">
        <f>Raw_Data!B617</f>
        <v>49</v>
      </c>
      <c r="C617">
        <f>Raw_Data!D617</f>
        <v>21</v>
      </c>
      <c r="D617">
        <f>Raw_Data!F617</f>
        <v>1</v>
      </c>
      <c r="E617">
        <f>Raw_Data!H617</f>
        <v>1</v>
      </c>
      <c r="F617">
        <f>Raw_Data!G617</f>
        <v>0</v>
      </c>
      <c r="G617">
        <f>Raw_Data!E617</f>
        <v>33805.410000000003</v>
      </c>
      <c r="H617">
        <f>Raw_Data!I617</f>
        <v>71231.72</v>
      </c>
      <c r="I617">
        <f>Raw_Data!J617</f>
        <v>0</v>
      </c>
      <c r="J617">
        <f t="shared" si="19"/>
        <v>0</v>
      </c>
      <c r="K617" t="str">
        <f t="shared" si="20"/>
        <v>Low Risk</v>
      </c>
    </row>
    <row r="618" spans="1:11" x14ac:dyDescent="0.35">
      <c r="A618">
        <f>Raw_Data!A618</f>
        <v>617</v>
      </c>
      <c r="B618">
        <f>Raw_Data!B618</f>
        <v>41</v>
      </c>
      <c r="C618">
        <f>Raw_Data!D618</f>
        <v>35</v>
      </c>
      <c r="D618">
        <f>Raw_Data!F618</f>
        <v>3</v>
      </c>
      <c r="E618">
        <f>Raw_Data!H618</f>
        <v>0</v>
      </c>
      <c r="F618">
        <f>Raw_Data!G618</f>
        <v>0</v>
      </c>
      <c r="G618">
        <f>Raw_Data!E618</f>
        <v>47199.12</v>
      </c>
      <c r="H618">
        <f>Raw_Data!I618</f>
        <v>130623.75</v>
      </c>
      <c r="I618">
        <f>Raw_Data!J618</f>
        <v>0</v>
      </c>
      <c r="J618">
        <f t="shared" si="19"/>
        <v>3</v>
      </c>
      <c r="K618" t="str">
        <f t="shared" si="20"/>
        <v>Medium Risk</v>
      </c>
    </row>
    <row r="619" spans="1:11" x14ac:dyDescent="0.35">
      <c r="A619">
        <f>Raw_Data!A619</f>
        <v>618</v>
      </c>
      <c r="B619">
        <f>Raw_Data!B619</f>
        <v>40</v>
      </c>
      <c r="C619">
        <f>Raw_Data!D619</f>
        <v>66</v>
      </c>
      <c r="D619">
        <f>Raw_Data!F619</f>
        <v>3</v>
      </c>
      <c r="E619">
        <f>Raw_Data!H619</f>
        <v>0</v>
      </c>
      <c r="F619">
        <f>Raw_Data!G619</f>
        <v>1</v>
      </c>
      <c r="G619">
        <f>Raw_Data!E619</f>
        <v>13448.4</v>
      </c>
      <c r="H619">
        <f>Raw_Data!I619</f>
        <v>64961.65</v>
      </c>
      <c r="I619">
        <f>Raw_Data!J619</f>
        <v>0</v>
      </c>
      <c r="J619">
        <f t="shared" si="19"/>
        <v>2</v>
      </c>
      <c r="K619" t="str">
        <f t="shared" si="20"/>
        <v>Low Risk</v>
      </c>
    </row>
    <row r="620" spans="1:11" x14ac:dyDescent="0.35">
      <c r="A620">
        <f>Raw_Data!A620</f>
        <v>619</v>
      </c>
      <c r="B620">
        <f>Raw_Data!B620</f>
        <v>49</v>
      </c>
      <c r="C620">
        <f>Raw_Data!D620</f>
        <v>2</v>
      </c>
      <c r="D620">
        <f>Raw_Data!F620</f>
        <v>4</v>
      </c>
      <c r="E620">
        <f>Raw_Data!H620</f>
        <v>1</v>
      </c>
      <c r="F620">
        <f>Raw_Data!G620</f>
        <v>0</v>
      </c>
      <c r="G620">
        <f>Raw_Data!E620</f>
        <v>23770.33</v>
      </c>
      <c r="H620">
        <f>Raw_Data!I620</f>
        <v>24577.97</v>
      </c>
      <c r="I620">
        <f>Raw_Data!J620</f>
        <v>0</v>
      </c>
      <c r="J620">
        <f t="shared" si="19"/>
        <v>4</v>
      </c>
      <c r="K620" t="str">
        <f t="shared" si="20"/>
        <v>Medium Risk</v>
      </c>
    </row>
    <row r="621" spans="1:11" x14ac:dyDescent="0.35">
      <c r="A621">
        <f>Raw_Data!A621</f>
        <v>620</v>
      </c>
      <c r="B621">
        <f>Raw_Data!B621</f>
        <v>54</v>
      </c>
      <c r="C621">
        <f>Raw_Data!D621</f>
        <v>35</v>
      </c>
      <c r="D621">
        <f>Raw_Data!F621</f>
        <v>1</v>
      </c>
      <c r="E621">
        <f>Raw_Data!H621</f>
        <v>1</v>
      </c>
      <c r="F621">
        <f>Raw_Data!G621</f>
        <v>0</v>
      </c>
      <c r="G621">
        <f>Raw_Data!E621</f>
        <v>31716.99</v>
      </c>
      <c r="H621">
        <f>Raw_Data!I621</f>
        <v>117003.35</v>
      </c>
      <c r="I621">
        <f>Raw_Data!J621</f>
        <v>0</v>
      </c>
      <c r="J621">
        <f t="shared" si="19"/>
        <v>0</v>
      </c>
      <c r="K621" t="str">
        <f t="shared" si="20"/>
        <v>Low Risk</v>
      </c>
    </row>
    <row r="622" spans="1:11" x14ac:dyDescent="0.35">
      <c r="A622">
        <f>Raw_Data!A622</f>
        <v>621</v>
      </c>
      <c r="B622">
        <f>Raw_Data!B622</f>
        <v>29</v>
      </c>
      <c r="C622">
        <f>Raw_Data!D622</f>
        <v>20</v>
      </c>
      <c r="D622">
        <f>Raw_Data!F622</f>
        <v>3</v>
      </c>
      <c r="E622">
        <f>Raw_Data!H622</f>
        <v>0</v>
      </c>
      <c r="F622">
        <f>Raw_Data!G622</f>
        <v>0</v>
      </c>
      <c r="G622">
        <f>Raw_Data!E622</f>
        <v>49973.31</v>
      </c>
      <c r="H622">
        <f>Raw_Data!I622</f>
        <v>124264.98</v>
      </c>
      <c r="I622">
        <f>Raw_Data!J622</f>
        <v>0</v>
      </c>
      <c r="J622">
        <f t="shared" si="19"/>
        <v>3</v>
      </c>
      <c r="K622" t="str">
        <f t="shared" si="20"/>
        <v>Medium Risk</v>
      </c>
    </row>
    <row r="623" spans="1:11" x14ac:dyDescent="0.35">
      <c r="A623">
        <f>Raw_Data!A623</f>
        <v>622</v>
      </c>
      <c r="B623">
        <f>Raw_Data!B623</f>
        <v>66</v>
      </c>
      <c r="C623">
        <f>Raw_Data!D623</f>
        <v>10</v>
      </c>
      <c r="D623">
        <f>Raw_Data!F623</f>
        <v>4</v>
      </c>
      <c r="E623">
        <f>Raw_Data!H623</f>
        <v>0</v>
      </c>
      <c r="F623">
        <f>Raw_Data!G623</f>
        <v>0</v>
      </c>
      <c r="G623">
        <f>Raw_Data!E623</f>
        <v>5240.3999999999996</v>
      </c>
      <c r="H623">
        <f>Raw_Data!I623</f>
        <v>40877.18</v>
      </c>
      <c r="I623">
        <f>Raw_Data!J623</f>
        <v>1</v>
      </c>
      <c r="J623">
        <f t="shared" si="19"/>
        <v>7</v>
      </c>
      <c r="K623" t="str">
        <f t="shared" si="20"/>
        <v>High Risk</v>
      </c>
    </row>
    <row r="624" spans="1:11" x14ac:dyDescent="0.35">
      <c r="A624">
        <f>Raw_Data!A624</f>
        <v>623</v>
      </c>
      <c r="B624">
        <f>Raw_Data!B624</f>
        <v>30</v>
      </c>
      <c r="C624">
        <f>Raw_Data!D624</f>
        <v>25</v>
      </c>
      <c r="D624">
        <f>Raw_Data!F624</f>
        <v>2</v>
      </c>
      <c r="E624">
        <f>Raw_Data!H624</f>
        <v>1</v>
      </c>
      <c r="F624">
        <f>Raw_Data!G624</f>
        <v>0</v>
      </c>
      <c r="G624">
        <f>Raw_Data!E624</f>
        <v>24928.54</v>
      </c>
      <c r="H624">
        <f>Raw_Data!I624</f>
        <v>89854.26</v>
      </c>
      <c r="I624">
        <f>Raw_Data!J624</f>
        <v>0</v>
      </c>
      <c r="J624">
        <f t="shared" si="19"/>
        <v>0</v>
      </c>
      <c r="K624" t="str">
        <f t="shared" si="20"/>
        <v>Low Risk</v>
      </c>
    </row>
    <row r="625" spans="1:11" x14ac:dyDescent="0.35">
      <c r="A625">
        <f>Raw_Data!A625</f>
        <v>624</v>
      </c>
      <c r="B625">
        <f>Raw_Data!B625</f>
        <v>40</v>
      </c>
      <c r="C625">
        <f>Raw_Data!D625</f>
        <v>66</v>
      </c>
      <c r="D625">
        <f>Raw_Data!F625</f>
        <v>1</v>
      </c>
      <c r="E625">
        <f>Raw_Data!H625</f>
        <v>1</v>
      </c>
      <c r="F625">
        <f>Raw_Data!G625</f>
        <v>0</v>
      </c>
      <c r="G625">
        <f>Raw_Data!E625</f>
        <v>19256.009999999998</v>
      </c>
      <c r="H625">
        <f>Raw_Data!I625</f>
        <v>44954.21</v>
      </c>
      <c r="I625">
        <f>Raw_Data!J625</f>
        <v>0</v>
      </c>
      <c r="J625">
        <f t="shared" si="19"/>
        <v>0</v>
      </c>
      <c r="K625" t="str">
        <f t="shared" si="20"/>
        <v>Low Risk</v>
      </c>
    </row>
    <row r="626" spans="1:11" x14ac:dyDescent="0.35">
      <c r="A626">
        <f>Raw_Data!A626</f>
        <v>625</v>
      </c>
      <c r="B626">
        <f>Raw_Data!B626</f>
        <v>42</v>
      </c>
      <c r="C626">
        <f>Raw_Data!D626</f>
        <v>25</v>
      </c>
      <c r="D626">
        <f>Raw_Data!F626</f>
        <v>2</v>
      </c>
      <c r="E626">
        <f>Raw_Data!H626</f>
        <v>1</v>
      </c>
      <c r="F626">
        <f>Raw_Data!G626</f>
        <v>1</v>
      </c>
      <c r="G626">
        <f>Raw_Data!E626</f>
        <v>43291.01</v>
      </c>
      <c r="H626">
        <f>Raw_Data!I626</f>
        <v>113500.47</v>
      </c>
      <c r="I626">
        <f>Raw_Data!J626</f>
        <v>0</v>
      </c>
      <c r="J626">
        <f t="shared" si="19"/>
        <v>1</v>
      </c>
      <c r="K626" t="str">
        <f t="shared" si="20"/>
        <v>Low Risk</v>
      </c>
    </row>
    <row r="627" spans="1:11" x14ac:dyDescent="0.35">
      <c r="A627">
        <f>Raw_Data!A627</f>
        <v>626</v>
      </c>
      <c r="B627">
        <f>Raw_Data!B627</f>
        <v>52</v>
      </c>
      <c r="C627">
        <f>Raw_Data!D627</f>
        <v>54</v>
      </c>
      <c r="D627">
        <f>Raw_Data!F627</f>
        <v>1</v>
      </c>
      <c r="E627">
        <f>Raw_Data!H627</f>
        <v>0</v>
      </c>
      <c r="F627">
        <f>Raw_Data!G627</f>
        <v>0</v>
      </c>
      <c r="G627">
        <f>Raw_Data!E627</f>
        <v>23798.39</v>
      </c>
      <c r="H627">
        <f>Raw_Data!I627</f>
        <v>55301.56</v>
      </c>
      <c r="I627">
        <f>Raw_Data!J627</f>
        <v>0</v>
      </c>
      <c r="J627">
        <f t="shared" si="19"/>
        <v>2</v>
      </c>
      <c r="K627" t="str">
        <f t="shared" si="20"/>
        <v>Low Risk</v>
      </c>
    </row>
    <row r="628" spans="1:11" x14ac:dyDescent="0.35">
      <c r="A628">
        <f>Raw_Data!A628</f>
        <v>627</v>
      </c>
      <c r="B628">
        <f>Raw_Data!B628</f>
        <v>58</v>
      </c>
      <c r="C628">
        <f>Raw_Data!D628</f>
        <v>33</v>
      </c>
      <c r="D628">
        <f>Raw_Data!F628</f>
        <v>4</v>
      </c>
      <c r="E628">
        <f>Raw_Data!H628</f>
        <v>0</v>
      </c>
      <c r="F628">
        <f>Raw_Data!G628</f>
        <v>1</v>
      </c>
      <c r="G628">
        <f>Raw_Data!E628</f>
        <v>5548.88</v>
      </c>
      <c r="H628">
        <f>Raw_Data!I628</f>
        <v>61107.97</v>
      </c>
      <c r="I628">
        <f>Raw_Data!J628</f>
        <v>0</v>
      </c>
      <c r="J628">
        <f t="shared" si="19"/>
        <v>5</v>
      </c>
      <c r="K628" t="str">
        <f t="shared" si="20"/>
        <v>High Risk</v>
      </c>
    </row>
    <row r="629" spans="1:11" x14ac:dyDescent="0.35">
      <c r="A629">
        <f>Raw_Data!A629</f>
        <v>628</v>
      </c>
      <c r="B629">
        <f>Raw_Data!B629</f>
        <v>47</v>
      </c>
      <c r="C629">
        <f>Raw_Data!D629</f>
        <v>36</v>
      </c>
      <c r="D629">
        <f>Raw_Data!F629</f>
        <v>3</v>
      </c>
      <c r="E629">
        <f>Raw_Data!H629</f>
        <v>0</v>
      </c>
      <c r="F629">
        <f>Raw_Data!G629</f>
        <v>1</v>
      </c>
      <c r="G629">
        <f>Raw_Data!E629</f>
        <v>31721.21</v>
      </c>
      <c r="H629">
        <f>Raw_Data!I629</f>
        <v>129846.21</v>
      </c>
      <c r="I629">
        <f>Raw_Data!J629</f>
        <v>0</v>
      </c>
      <c r="J629">
        <f t="shared" si="19"/>
        <v>2</v>
      </c>
      <c r="K629" t="str">
        <f t="shared" si="20"/>
        <v>Low Risk</v>
      </c>
    </row>
    <row r="630" spans="1:11" x14ac:dyDescent="0.35">
      <c r="A630">
        <f>Raw_Data!A630</f>
        <v>629</v>
      </c>
      <c r="B630">
        <f>Raw_Data!B630</f>
        <v>34</v>
      </c>
      <c r="C630">
        <f>Raw_Data!D630</f>
        <v>14</v>
      </c>
      <c r="D630">
        <f>Raw_Data!F630</f>
        <v>3</v>
      </c>
      <c r="E630">
        <f>Raw_Data!H630</f>
        <v>1</v>
      </c>
      <c r="F630">
        <f>Raw_Data!G630</f>
        <v>0</v>
      </c>
      <c r="G630">
        <f>Raw_Data!E630</f>
        <v>38539.03</v>
      </c>
      <c r="H630">
        <f>Raw_Data!I630</f>
        <v>81921.91</v>
      </c>
      <c r="I630">
        <f>Raw_Data!J630</f>
        <v>0</v>
      </c>
      <c r="J630">
        <f t="shared" si="19"/>
        <v>0</v>
      </c>
      <c r="K630" t="str">
        <f t="shared" si="20"/>
        <v>Low Risk</v>
      </c>
    </row>
    <row r="631" spans="1:11" x14ac:dyDescent="0.35">
      <c r="A631">
        <f>Raw_Data!A631</f>
        <v>630</v>
      </c>
      <c r="B631">
        <f>Raw_Data!B631</f>
        <v>66</v>
      </c>
      <c r="C631">
        <f>Raw_Data!D631</f>
        <v>65</v>
      </c>
      <c r="D631">
        <f>Raw_Data!F631</f>
        <v>3</v>
      </c>
      <c r="E631">
        <f>Raw_Data!H631</f>
        <v>1</v>
      </c>
      <c r="F631">
        <f>Raw_Data!G631</f>
        <v>1</v>
      </c>
      <c r="G631">
        <f>Raw_Data!E631</f>
        <v>144.06</v>
      </c>
      <c r="H631">
        <f>Raw_Data!I631</f>
        <v>107068.08</v>
      </c>
      <c r="I631">
        <f>Raw_Data!J631</f>
        <v>0</v>
      </c>
      <c r="J631">
        <f t="shared" si="19"/>
        <v>1</v>
      </c>
      <c r="K631" t="str">
        <f t="shared" si="20"/>
        <v>Low Risk</v>
      </c>
    </row>
    <row r="632" spans="1:11" x14ac:dyDescent="0.35">
      <c r="A632">
        <f>Raw_Data!A632</f>
        <v>631</v>
      </c>
      <c r="B632">
        <f>Raw_Data!B632</f>
        <v>37</v>
      </c>
      <c r="C632">
        <f>Raw_Data!D632</f>
        <v>54</v>
      </c>
      <c r="D632">
        <f>Raw_Data!F632</f>
        <v>1</v>
      </c>
      <c r="E632">
        <f>Raw_Data!H632</f>
        <v>1</v>
      </c>
      <c r="F632">
        <f>Raw_Data!G632</f>
        <v>1</v>
      </c>
      <c r="G632">
        <f>Raw_Data!E632</f>
        <v>42947.83</v>
      </c>
      <c r="H632">
        <f>Raw_Data!I632</f>
        <v>72308.5</v>
      </c>
      <c r="I632">
        <f>Raw_Data!J632</f>
        <v>0</v>
      </c>
      <c r="J632">
        <f t="shared" si="19"/>
        <v>1</v>
      </c>
      <c r="K632" t="str">
        <f t="shared" si="20"/>
        <v>Low Risk</v>
      </c>
    </row>
    <row r="633" spans="1:11" x14ac:dyDescent="0.35">
      <c r="A633">
        <f>Raw_Data!A633</f>
        <v>632</v>
      </c>
      <c r="B633">
        <f>Raw_Data!B633</f>
        <v>65</v>
      </c>
      <c r="C633">
        <f>Raw_Data!D633</f>
        <v>52</v>
      </c>
      <c r="D633">
        <f>Raw_Data!F633</f>
        <v>4</v>
      </c>
      <c r="E633">
        <f>Raw_Data!H633</f>
        <v>0</v>
      </c>
      <c r="F633">
        <f>Raw_Data!G633</f>
        <v>0</v>
      </c>
      <c r="G633">
        <f>Raw_Data!E633</f>
        <v>9301.15</v>
      </c>
      <c r="H633">
        <f>Raw_Data!I633</f>
        <v>58740.89</v>
      </c>
      <c r="I633">
        <f>Raw_Data!J633</f>
        <v>0</v>
      </c>
      <c r="J633">
        <f t="shared" si="19"/>
        <v>5</v>
      </c>
      <c r="K633" t="str">
        <f t="shared" si="20"/>
        <v>High Risk</v>
      </c>
    </row>
    <row r="634" spans="1:11" x14ac:dyDescent="0.35">
      <c r="A634">
        <f>Raw_Data!A634</f>
        <v>633</v>
      </c>
      <c r="B634">
        <f>Raw_Data!B634</f>
        <v>42</v>
      </c>
      <c r="C634">
        <f>Raw_Data!D634</f>
        <v>3</v>
      </c>
      <c r="D634">
        <f>Raw_Data!F634</f>
        <v>2</v>
      </c>
      <c r="E634">
        <f>Raw_Data!H634</f>
        <v>1</v>
      </c>
      <c r="F634">
        <f>Raw_Data!G634</f>
        <v>0</v>
      </c>
      <c r="G634">
        <f>Raw_Data!E634</f>
        <v>27603.47</v>
      </c>
      <c r="H634">
        <f>Raw_Data!I634</f>
        <v>101312.15</v>
      </c>
      <c r="I634">
        <f>Raw_Data!J634</f>
        <v>0</v>
      </c>
      <c r="J634">
        <f t="shared" si="19"/>
        <v>2</v>
      </c>
      <c r="K634" t="str">
        <f t="shared" si="20"/>
        <v>Low Risk</v>
      </c>
    </row>
    <row r="635" spans="1:11" x14ac:dyDescent="0.35">
      <c r="A635">
        <f>Raw_Data!A635</f>
        <v>634</v>
      </c>
      <c r="B635">
        <f>Raw_Data!B635</f>
        <v>39</v>
      </c>
      <c r="C635">
        <f>Raw_Data!D635</f>
        <v>41</v>
      </c>
      <c r="D635">
        <f>Raw_Data!F635</f>
        <v>4</v>
      </c>
      <c r="E635">
        <f>Raw_Data!H635</f>
        <v>0</v>
      </c>
      <c r="F635">
        <f>Raw_Data!G635</f>
        <v>0</v>
      </c>
      <c r="G635">
        <f>Raw_Data!E635</f>
        <v>20789.88</v>
      </c>
      <c r="H635">
        <f>Raw_Data!I635</f>
        <v>40131.480000000003</v>
      </c>
      <c r="I635">
        <f>Raw_Data!J635</f>
        <v>0</v>
      </c>
      <c r="J635">
        <f t="shared" si="19"/>
        <v>4</v>
      </c>
      <c r="K635" t="str">
        <f t="shared" si="20"/>
        <v>Medium Risk</v>
      </c>
    </row>
    <row r="636" spans="1:11" x14ac:dyDescent="0.35">
      <c r="A636">
        <f>Raw_Data!A636</f>
        <v>635</v>
      </c>
      <c r="B636">
        <f>Raw_Data!B636</f>
        <v>30</v>
      </c>
      <c r="C636">
        <f>Raw_Data!D636</f>
        <v>6</v>
      </c>
      <c r="D636">
        <f>Raw_Data!F636</f>
        <v>2</v>
      </c>
      <c r="E636">
        <f>Raw_Data!H636</f>
        <v>1</v>
      </c>
      <c r="F636">
        <f>Raw_Data!G636</f>
        <v>1</v>
      </c>
      <c r="G636">
        <f>Raw_Data!E636</f>
        <v>35982.69</v>
      </c>
      <c r="H636">
        <f>Raw_Data!I636</f>
        <v>68489.98</v>
      </c>
      <c r="I636">
        <f>Raw_Data!J636</f>
        <v>0</v>
      </c>
      <c r="J636">
        <f t="shared" si="19"/>
        <v>2</v>
      </c>
      <c r="K636" t="str">
        <f t="shared" si="20"/>
        <v>Low Risk</v>
      </c>
    </row>
    <row r="637" spans="1:11" x14ac:dyDescent="0.35">
      <c r="A637">
        <f>Raw_Data!A637</f>
        <v>636</v>
      </c>
      <c r="B637">
        <f>Raw_Data!B637</f>
        <v>36</v>
      </c>
      <c r="C637">
        <f>Raw_Data!D637</f>
        <v>25</v>
      </c>
      <c r="D637">
        <f>Raw_Data!F637</f>
        <v>1</v>
      </c>
      <c r="E637">
        <f>Raw_Data!H637</f>
        <v>0</v>
      </c>
      <c r="F637">
        <f>Raw_Data!G637</f>
        <v>1</v>
      </c>
      <c r="G637">
        <f>Raw_Data!E637</f>
        <v>18558.080000000002</v>
      </c>
      <c r="H637">
        <f>Raw_Data!I637</f>
        <v>47174.81</v>
      </c>
      <c r="I637">
        <f>Raw_Data!J637</f>
        <v>0</v>
      </c>
      <c r="J637">
        <f t="shared" si="19"/>
        <v>2</v>
      </c>
      <c r="K637" t="str">
        <f t="shared" si="20"/>
        <v>Low Risk</v>
      </c>
    </row>
    <row r="638" spans="1:11" x14ac:dyDescent="0.35">
      <c r="A638">
        <f>Raw_Data!A638</f>
        <v>637</v>
      </c>
      <c r="B638">
        <f>Raw_Data!B638</f>
        <v>66</v>
      </c>
      <c r="C638">
        <f>Raw_Data!D638</f>
        <v>13</v>
      </c>
      <c r="D638">
        <f>Raw_Data!F638</f>
        <v>1</v>
      </c>
      <c r="E638">
        <f>Raw_Data!H638</f>
        <v>0</v>
      </c>
      <c r="F638">
        <f>Raw_Data!G638</f>
        <v>0</v>
      </c>
      <c r="G638">
        <f>Raw_Data!E638</f>
        <v>43488.160000000003</v>
      </c>
      <c r="H638">
        <f>Raw_Data!I638</f>
        <v>110453.35</v>
      </c>
      <c r="I638">
        <f>Raw_Data!J638</f>
        <v>0</v>
      </c>
      <c r="J638">
        <f t="shared" si="19"/>
        <v>4</v>
      </c>
      <c r="K638" t="str">
        <f t="shared" si="20"/>
        <v>Medium Risk</v>
      </c>
    </row>
    <row r="639" spans="1:11" x14ac:dyDescent="0.35">
      <c r="A639">
        <f>Raw_Data!A639</f>
        <v>638</v>
      </c>
      <c r="B639">
        <f>Raw_Data!B639</f>
        <v>53</v>
      </c>
      <c r="C639">
        <f>Raw_Data!D639</f>
        <v>8</v>
      </c>
      <c r="D639">
        <f>Raw_Data!F639</f>
        <v>2</v>
      </c>
      <c r="E639">
        <f>Raw_Data!H639</f>
        <v>1</v>
      </c>
      <c r="F639">
        <f>Raw_Data!G639</f>
        <v>0</v>
      </c>
      <c r="G639">
        <f>Raw_Data!E639</f>
        <v>36524.82</v>
      </c>
      <c r="H639">
        <f>Raw_Data!I639</f>
        <v>142747.15</v>
      </c>
      <c r="I639">
        <f>Raw_Data!J639</f>
        <v>0</v>
      </c>
      <c r="J639">
        <f t="shared" si="19"/>
        <v>2</v>
      </c>
      <c r="K639" t="str">
        <f t="shared" si="20"/>
        <v>Low Risk</v>
      </c>
    </row>
    <row r="640" spans="1:11" x14ac:dyDescent="0.35">
      <c r="A640">
        <f>Raw_Data!A640</f>
        <v>639</v>
      </c>
      <c r="B640">
        <f>Raw_Data!B640</f>
        <v>29</v>
      </c>
      <c r="C640">
        <f>Raw_Data!D640</f>
        <v>21</v>
      </c>
      <c r="D640">
        <f>Raw_Data!F640</f>
        <v>2</v>
      </c>
      <c r="E640">
        <f>Raw_Data!H640</f>
        <v>0</v>
      </c>
      <c r="F640">
        <f>Raw_Data!G640</f>
        <v>1</v>
      </c>
      <c r="G640">
        <f>Raw_Data!E640</f>
        <v>32385.66</v>
      </c>
      <c r="H640">
        <f>Raw_Data!I640</f>
        <v>149416.43</v>
      </c>
      <c r="I640">
        <f>Raw_Data!J640</f>
        <v>0</v>
      </c>
      <c r="J640">
        <f t="shared" si="19"/>
        <v>2</v>
      </c>
      <c r="K640" t="str">
        <f t="shared" si="20"/>
        <v>Low Risk</v>
      </c>
    </row>
    <row r="641" spans="1:11" x14ac:dyDescent="0.35">
      <c r="A641">
        <f>Raw_Data!A641</f>
        <v>640</v>
      </c>
      <c r="B641">
        <f>Raw_Data!B641</f>
        <v>58</v>
      </c>
      <c r="C641">
        <f>Raw_Data!D641</f>
        <v>68</v>
      </c>
      <c r="D641">
        <f>Raw_Data!F641</f>
        <v>2</v>
      </c>
      <c r="E641">
        <f>Raw_Data!H641</f>
        <v>1</v>
      </c>
      <c r="F641">
        <f>Raw_Data!G641</f>
        <v>1</v>
      </c>
      <c r="G641">
        <f>Raw_Data!E641</f>
        <v>39812.03</v>
      </c>
      <c r="H641">
        <f>Raw_Data!I641</f>
        <v>78535.990000000005</v>
      </c>
      <c r="I641">
        <f>Raw_Data!J641</f>
        <v>0</v>
      </c>
      <c r="J641">
        <f t="shared" si="19"/>
        <v>1</v>
      </c>
      <c r="K641" t="str">
        <f t="shared" si="20"/>
        <v>Low Risk</v>
      </c>
    </row>
    <row r="642" spans="1:11" x14ac:dyDescent="0.35">
      <c r="A642">
        <f>Raw_Data!A642</f>
        <v>641</v>
      </c>
      <c r="B642">
        <f>Raw_Data!B642</f>
        <v>36</v>
      </c>
      <c r="C642">
        <f>Raw_Data!D642</f>
        <v>25</v>
      </c>
      <c r="D642">
        <f>Raw_Data!F642</f>
        <v>4</v>
      </c>
      <c r="E642">
        <f>Raw_Data!H642</f>
        <v>0</v>
      </c>
      <c r="F642">
        <f>Raw_Data!G642</f>
        <v>1</v>
      </c>
      <c r="G642">
        <f>Raw_Data!E642</f>
        <v>37701.15</v>
      </c>
      <c r="H642">
        <f>Raw_Data!I642</f>
        <v>52828.95</v>
      </c>
      <c r="I642">
        <f>Raw_Data!J642</f>
        <v>0</v>
      </c>
      <c r="J642">
        <f t="shared" si="19"/>
        <v>4</v>
      </c>
      <c r="K642" t="str">
        <f t="shared" si="20"/>
        <v>Medium Risk</v>
      </c>
    </row>
    <row r="643" spans="1:11" x14ac:dyDescent="0.35">
      <c r="A643">
        <f>Raw_Data!A643</f>
        <v>642</v>
      </c>
      <c r="B643">
        <f>Raw_Data!B643</f>
        <v>29</v>
      </c>
      <c r="C643">
        <f>Raw_Data!D643</f>
        <v>68</v>
      </c>
      <c r="D643">
        <f>Raw_Data!F643</f>
        <v>2</v>
      </c>
      <c r="E643">
        <f>Raw_Data!H643</f>
        <v>1</v>
      </c>
      <c r="F643">
        <f>Raw_Data!G643</f>
        <v>1</v>
      </c>
      <c r="G643">
        <f>Raw_Data!E643</f>
        <v>1796.93</v>
      </c>
      <c r="H643">
        <f>Raw_Data!I643</f>
        <v>77567.820000000007</v>
      </c>
      <c r="I643">
        <f>Raw_Data!J643</f>
        <v>0</v>
      </c>
      <c r="J643">
        <f t="shared" ref="J643:J706" si="21">IF(E643=0,2,0)+IF(D643=4,2,0)+IF(C643&lt;=12,2,0)+IF(B643&gt;=56,1,0)+IF(G643&gt;=40000,1,0)</f>
        <v>0</v>
      </c>
      <c r="K643" t="str">
        <f t="shared" ref="K643:K706" si="22">IF(J643&gt;=5,"High Risk",IF(J643&gt;=3,"Medium Risk","Low Risk"))</f>
        <v>Low Risk</v>
      </c>
    </row>
    <row r="644" spans="1:11" x14ac:dyDescent="0.35">
      <c r="A644">
        <f>Raw_Data!A644</f>
        <v>643</v>
      </c>
      <c r="B644">
        <f>Raw_Data!B644</f>
        <v>26</v>
      </c>
      <c r="C644">
        <f>Raw_Data!D644</f>
        <v>45</v>
      </c>
      <c r="D644">
        <f>Raw_Data!F644</f>
        <v>1</v>
      </c>
      <c r="E644">
        <f>Raw_Data!H644</f>
        <v>1</v>
      </c>
      <c r="F644">
        <f>Raw_Data!G644</f>
        <v>0</v>
      </c>
      <c r="G644">
        <f>Raw_Data!E644</f>
        <v>19736.72</v>
      </c>
      <c r="H644">
        <f>Raw_Data!I644</f>
        <v>130145.02</v>
      </c>
      <c r="I644">
        <f>Raw_Data!J644</f>
        <v>0</v>
      </c>
      <c r="J644">
        <f t="shared" si="21"/>
        <v>0</v>
      </c>
      <c r="K644" t="str">
        <f t="shared" si="22"/>
        <v>Low Risk</v>
      </c>
    </row>
    <row r="645" spans="1:11" x14ac:dyDescent="0.35">
      <c r="A645">
        <f>Raw_Data!A645</f>
        <v>644</v>
      </c>
      <c r="B645">
        <f>Raw_Data!B645</f>
        <v>24</v>
      </c>
      <c r="C645">
        <f>Raw_Data!D645</f>
        <v>60</v>
      </c>
      <c r="D645">
        <f>Raw_Data!F645</f>
        <v>1</v>
      </c>
      <c r="E645">
        <f>Raw_Data!H645</f>
        <v>0</v>
      </c>
      <c r="F645">
        <f>Raw_Data!G645</f>
        <v>1</v>
      </c>
      <c r="G645">
        <f>Raw_Data!E645</f>
        <v>46540.36</v>
      </c>
      <c r="H645">
        <f>Raw_Data!I645</f>
        <v>46780.74</v>
      </c>
      <c r="I645">
        <f>Raw_Data!J645</f>
        <v>0</v>
      </c>
      <c r="J645">
        <f t="shared" si="21"/>
        <v>3</v>
      </c>
      <c r="K645" t="str">
        <f t="shared" si="22"/>
        <v>Medium Risk</v>
      </c>
    </row>
    <row r="646" spans="1:11" x14ac:dyDescent="0.35">
      <c r="A646">
        <f>Raw_Data!A646</f>
        <v>645</v>
      </c>
      <c r="B646">
        <f>Raw_Data!B646</f>
        <v>45</v>
      </c>
      <c r="C646">
        <f>Raw_Data!D646</f>
        <v>12</v>
      </c>
      <c r="D646">
        <f>Raw_Data!F646</f>
        <v>3</v>
      </c>
      <c r="E646">
        <f>Raw_Data!H646</f>
        <v>1</v>
      </c>
      <c r="F646">
        <f>Raw_Data!G646</f>
        <v>1</v>
      </c>
      <c r="G646">
        <f>Raw_Data!E646</f>
        <v>6286.21</v>
      </c>
      <c r="H646">
        <f>Raw_Data!I646</f>
        <v>143772.43</v>
      </c>
      <c r="I646">
        <f>Raw_Data!J646</f>
        <v>0</v>
      </c>
      <c r="J646">
        <f t="shared" si="21"/>
        <v>2</v>
      </c>
      <c r="K646" t="str">
        <f t="shared" si="22"/>
        <v>Low Risk</v>
      </c>
    </row>
    <row r="647" spans="1:11" x14ac:dyDescent="0.35">
      <c r="A647">
        <f>Raw_Data!A647</f>
        <v>646</v>
      </c>
      <c r="B647">
        <f>Raw_Data!B647</f>
        <v>31</v>
      </c>
      <c r="C647">
        <f>Raw_Data!D647</f>
        <v>32</v>
      </c>
      <c r="D647">
        <f>Raw_Data!F647</f>
        <v>2</v>
      </c>
      <c r="E647">
        <f>Raw_Data!H647</f>
        <v>0</v>
      </c>
      <c r="F647">
        <f>Raw_Data!G647</f>
        <v>1</v>
      </c>
      <c r="G647">
        <f>Raw_Data!E647</f>
        <v>36854.83</v>
      </c>
      <c r="H647">
        <f>Raw_Data!I647</f>
        <v>64442.55</v>
      </c>
      <c r="I647">
        <f>Raw_Data!J647</f>
        <v>0</v>
      </c>
      <c r="J647">
        <f t="shared" si="21"/>
        <v>2</v>
      </c>
      <c r="K647" t="str">
        <f t="shared" si="22"/>
        <v>Low Risk</v>
      </c>
    </row>
    <row r="648" spans="1:11" x14ac:dyDescent="0.35">
      <c r="A648">
        <f>Raw_Data!A648</f>
        <v>647</v>
      </c>
      <c r="B648">
        <f>Raw_Data!B648</f>
        <v>48</v>
      </c>
      <c r="C648">
        <f>Raw_Data!D648</f>
        <v>13</v>
      </c>
      <c r="D648">
        <f>Raw_Data!F648</f>
        <v>4</v>
      </c>
      <c r="E648">
        <f>Raw_Data!H648</f>
        <v>1</v>
      </c>
      <c r="F648">
        <f>Raw_Data!G648</f>
        <v>1</v>
      </c>
      <c r="G648">
        <f>Raw_Data!E648</f>
        <v>48729.59</v>
      </c>
      <c r="H648">
        <f>Raw_Data!I648</f>
        <v>148154.48000000001</v>
      </c>
      <c r="I648">
        <f>Raw_Data!J648</f>
        <v>0</v>
      </c>
      <c r="J648">
        <f t="shared" si="21"/>
        <v>3</v>
      </c>
      <c r="K648" t="str">
        <f t="shared" si="22"/>
        <v>Medium Risk</v>
      </c>
    </row>
    <row r="649" spans="1:11" x14ac:dyDescent="0.35">
      <c r="A649">
        <f>Raw_Data!A649</f>
        <v>648</v>
      </c>
      <c r="B649">
        <f>Raw_Data!B649</f>
        <v>69</v>
      </c>
      <c r="C649">
        <f>Raw_Data!D649</f>
        <v>31</v>
      </c>
      <c r="D649">
        <f>Raw_Data!F649</f>
        <v>4</v>
      </c>
      <c r="E649">
        <f>Raw_Data!H649</f>
        <v>1</v>
      </c>
      <c r="F649">
        <f>Raw_Data!G649</f>
        <v>0</v>
      </c>
      <c r="G649">
        <f>Raw_Data!E649</f>
        <v>2609.9299999999998</v>
      </c>
      <c r="H649">
        <f>Raw_Data!I649</f>
        <v>129019.16</v>
      </c>
      <c r="I649">
        <f>Raw_Data!J649</f>
        <v>0</v>
      </c>
      <c r="J649">
        <f t="shared" si="21"/>
        <v>3</v>
      </c>
      <c r="K649" t="str">
        <f t="shared" si="22"/>
        <v>Medium Risk</v>
      </c>
    </row>
    <row r="650" spans="1:11" x14ac:dyDescent="0.35">
      <c r="A650">
        <f>Raw_Data!A650</f>
        <v>649</v>
      </c>
      <c r="B650">
        <f>Raw_Data!B650</f>
        <v>36</v>
      </c>
      <c r="C650">
        <f>Raw_Data!D650</f>
        <v>20</v>
      </c>
      <c r="D650">
        <f>Raw_Data!F650</f>
        <v>4</v>
      </c>
      <c r="E650">
        <f>Raw_Data!H650</f>
        <v>1</v>
      </c>
      <c r="F650">
        <f>Raw_Data!G650</f>
        <v>0</v>
      </c>
      <c r="G650">
        <f>Raw_Data!E650</f>
        <v>34109.69</v>
      </c>
      <c r="H650">
        <f>Raw_Data!I650</f>
        <v>125114.17</v>
      </c>
      <c r="I650">
        <f>Raw_Data!J650</f>
        <v>0</v>
      </c>
      <c r="J650">
        <f t="shared" si="21"/>
        <v>2</v>
      </c>
      <c r="K650" t="str">
        <f t="shared" si="22"/>
        <v>Low Risk</v>
      </c>
    </row>
    <row r="651" spans="1:11" x14ac:dyDescent="0.35">
      <c r="A651">
        <f>Raw_Data!A651</f>
        <v>650</v>
      </c>
      <c r="B651">
        <f>Raw_Data!B651</f>
        <v>64</v>
      </c>
      <c r="C651">
        <f>Raw_Data!D651</f>
        <v>18</v>
      </c>
      <c r="D651">
        <f>Raw_Data!F651</f>
        <v>3</v>
      </c>
      <c r="E651">
        <f>Raw_Data!H651</f>
        <v>1</v>
      </c>
      <c r="F651">
        <f>Raw_Data!G651</f>
        <v>1</v>
      </c>
      <c r="G651">
        <f>Raw_Data!E651</f>
        <v>23407.71</v>
      </c>
      <c r="H651">
        <f>Raw_Data!I651</f>
        <v>61327.61</v>
      </c>
      <c r="I651">
        <f>Raw_Data!J651</f>
        <v>0</v>
      </c>
      <c r="J651">
        <f t="shared" si="21"/>
        <v>1</v>
      </c>
      <c r="K651" t="str">
        <f t="shared" si="22"/>
        <v>Low Risk</v>
      </c>
    </row>
    <row r="652" spans="1:11" x14ac:dyDescent="0.35">
      <c r="A652">
        <f>Raw_Data!A652</f>
        <v>651</v>
      </c>
      <c r="B652">
        <f>Raw_Data!B652</f>
        <v>33</v>
      </c>
      <c r="C652">
        <f>Raw_Data!D652</f>
        <v>60</v>
      </c>
      <c r="D652">
        <f>Raw_Data!F652</f>
        <v>1</v>
      </c>
      <c r="E652">
        <f>Raw_Data!H652</f>
        <v>0</v>
      </c>
      <c r="F652">
        <f>Raw_Data!G652</f>
        <v>1</v>
      </c>
      <c r="G652">
        <f>Raw_Data!E652</f>
        <v>28958.76</v>
      </c>
      <c r="H652">
        <f>Raw_Data!I652</f>
        <v>21141.040000000001</v>
      </c>
      <c r="I652">
        <f>Raw_Data!J652</f>
        <v>0</v>
      </c>
      <c r="J652">
        <f t="shared" si="21"/>
        <v>2</v>
      </c>
      <c r="K652" t="str">
        <f t="shared" si="22"/>
        <v>Low Risk</v>
      </c>
    </row>
    <row r="653" spans="1:11" x14ac:dyDescent="0.35">
      <c r="A653">
        <f>Raw_Data!A653</f>
        <v>652</v>
      </c>
      <c r="B653">
        <f>Raw_Data!B653</f>
        <v>22</v>
      </c>
      <c r="C653">
        <f>Raw_Data!D653</f>
        <v>63</v>
      </c>
      <c r="D653">
        <f>Raw_Data!F653</f>
        <v>4</v>
      </c>
      <c r="E653">
        <f>Raw_Data!H653</f>
        <v>1</v>
      </c>
      <c r="F653">
        <f>Raw_Data!G653</f>
        <v>0</v>
      </c>
      <c r="G653">
        <f>Raw_Data!E653</f>
        <v>4267.07</v>
      </c>
      <c r="H653">
        <f>Raw_Data!I653</f>
        <v>69677.279999999999</v>
      </c>
      <c r="I653">
        <f>Raw_Data!J653</f>
        <v>0</v>
      </c>
      <c r="J653">
        <f t="shared" si="21"/>
        <v>2</v>
      </c>
      <c r="K653" t="str">
        <f t="shared" si="22"/>
        <v>Low Risk</v>
      </c>
    </row>
    <row r="654" spans="1:11" x14ac:dyDescent="0.35">
      <c r="A654">
        <f>Raw_Data!A654</f>
        <v>653</v>
      </c>
      <c r="B654">
        <f>Raw_Data!B654</f>
        <v>52</v>
      </c>
      <c r="C654">
        <f>Raw_Data!D654</f>
        <v>6</v>
      </c>
      <c r="D654">
        <f>Raw_Data!F654</f>
        <v>1</v>
      </c>
      <c r="E654">
        <f>Raw_Data!H654</f>
        <v>1</v>
      </c>
      <c r="F654">
        <f>Raw_Data!G654</f>
        <v>0</v>
      </c>
      <c r="G654">
        <f>Raw_Data!E654</f>
        <v>2150.35</v>
      </c>
      <c r="H654">
        <f>Raw_Data!I654</f>
        <v>59235.22</v>
      </c>
      <c r="I654">
        <f>Raw_Data!J654</f>
        <v>0</v>
      </c>
      <c r="J654">
        <f t="shared" si="21"/>
        <v>2</v>
      </c>
      <c r="K654" t="str">
        <f t="shared" si="22"/>
        <v>Low Risk</v>
      </c>
    </row>
    <row r="655" spans="1:11" x14ac:dyDescent="0.35">
      <c r="A655">
        <f>Raw_Data!A655</f>
        <v>654</v>
      </c>
      <c r="B655">
        <f>Raw_Data!B655</f>
        <v>29</v>
      </c>
      <c r="C655">
        <f>Raw_Data!D655</f>
        <v>32</v>
      </c>
      <c r="D655">
        <f>Raw_Data!F655</f>
        <v>3</v>
      </c>
      <c r="E655">
        <f>Raw_Data!H655</f>
        <v>0</v>
      </c>
      <c r="F655">
        <f>Raw_Data!G655</f>
        <v>1</v>
      </c>
      <c r="G655">
        <f>Raw_Data!E655</f>
        <v>33343.33</v>
      </c>
      <c r="H655">
        <f>Raw_Data!I655</f>
        <v>24861.61</v>
      </c>
      <c r="I655">
        <f>Raw_Data!J655</f>
        <v>0</v>
      </c>
      <c r="J655">
        <f t="shared" si="21"/>
        <v>2</v>
      </c>
      <c r="K655" t="str">
        <f t="shared" si="22"/>
        <v>Low Risk</v>
      </c>
    </row>
    <row r="656" spans="1:11" x14ac:dyDescent="0.35">
      <c r="A656">
        <f>Raw_Data!A656</f>
        <v>655</v>
      </c>
      <c r="B656">
        <f>Raw_Data!B656</f>
        <v>42</v>
      </c>
      <c r="C656">
        <f>Raw_Data!D656</f>
        <v>43</v>
      </c>
      <c r="D656">
        <f>Raw_Data!F656</f>
        <v>2</v>
      </c>
      <c r="E656">
        <f>Raw_Data!H656</f>
        <v>0</v>
      </c>
      <c r="F656">
        <f>Raw_Data!G656</f>
        <v>1</v>
      </c>
      <c r="G656">
        <f>Raw_Data!E656</f>
        <v>41165.47</v>
      </c>
      <c r="H656">
        <f>Raw_Data!I656</f>
        <v>85697.48</v>
      </c>
      <c r="I656">
        <f>Raw_Data!J656</f>
        <v>0</v>
      </c>
      <c r="J656">
        <f t="shared" si="21"/>
        <v>3</v>
      </c>
      <c r="K656" t="str">
        <f t="shared" si="22"/>
        <v>Medium Risk</v>
      </c>
    </row>
    <row r="657" spans="1:11" x14ac:dyDescent="0.35">
      <c r="A657">
        <f>Raw_Data!A657</f>
        <v>656</v>
      </c>
      <c r="B657">
        <f>Raw_Data!B657</f>
        <v>69</v>
      </c>
      <c r="C657">
        <f>Raw_Data!D657</f>
        <v>2</v>
      </c>
      <c r="D657">
        <f>Raw_Data!F657</f>
        <v>2</v>
      </c>
      <c r="E657">
        <f>Raw_Data!H657</f>
        <v>0</v>
      </c>
      <c r="F657">
        <f>Raw_Data!G657</f>
        <v>0</v>
      </c>
      <c r="G657">
        <f>Raw_Data!E657</f>
        <v>39100.769999999997</v>
      </c>
      <c r="H657">
        <f>Raw_Data!I657</f>
        <v>72394.070000000007</v>
      </c>
      <c r="I657">
        <f>Raw_Data!J657</f>
        <v>0</v>
      </c>
      <c r="J657">
        <f t="shared" si="21"/>
        <v>5</v>
      </c>
      <c r="K657" t="str">
        <f t="shared" si="22"/>
        <v>High Risk</v>
      </c>
    </row>
    <row r="658" spans="1:11" x14ac:dyDescent="0.35">
      <c r="A658">
        <f>Raw_Data!A658</f>
        <v>657</v>
      </c>
      <c r="B658">
        <f>Raw_Data!B658</f>
        <v>38</v>
      </c>
      <c r="C658">
        <f>Raw_Data!D658</f>
        <v>60</v>
      </c>
      <c r="D658">
        <f>Raw_Data!F658</f>
        <v>2</v>
      </c>
      <c r="E658">
        <f>Raw_Data!H658</f>
        <v>0</v>
      </c>
      <c r="F658">
        <f>Raw_Data!G658</f>
        <v>0</v>
      </c>
      <c r="G658">
        <f>Raw_Data!E658</f>
        <v>27190.29</v>
      </c>
      <c r="H658">
        <f>Raw_Data!I658</f>
        <v>102492.34</v>
      </c>
      <c r="I658">
        <f>Raw_Data!J658</f>
        <v>0</v>
      </c>
      <c r="J658">
        <f t="shared" si="21"/>
        <v>2</v>
      </c>
      <c r="K658" t="str">
        <f t="shared" si="22"/>
        <v>Low Risk</v>
      </c>
    </row>
    <row r="659" spans="1:11" x14ac:dyDescent="0.35">
      <c r="A659">
        <f>Raw_Data!A659</f>
        <v>658</v>
      </c>
      <c r="B659">
        <f>Raw_Data!B659</f>
        <v>53</v>
      </c>
      <c r="C659">
        <f>Raw_Data!D659</f>
        <v>23</v>
      </c>
      <c r="D659">
        <f>Raw_Data!F659</f>
        <v>4</v>
      </c>
      <c r="E659">
        <f>Raw_Data!H659</f>
        <v>0</v>
      </c>
      <c r="F659">
        <f>Raw_Data!G659</f>
        <v>0</v>
      </c>
      <c r="G659">
        <f>Raw_Data!E659</f>
        <v>4993.34</v>
      </c>
      <c r="H659">
        <f>Raw_Data!I659</f>
        <v>100754.22</v>
      </c>
      <c r="I659">
        <f>Raw_Data!J659</f>
        <v>0</v>
      </c>
      <c r="J659">
        <f t="shared" si="21"/>
        <v>4</v>
      </c>
      <c r="K659" t="str">
        <f t="shared" si="22"/>
        <v>Medium Risk</v>
      </c>
    </row>
    <row r="660" spans="1:11" x14ac:dyDescent="0.35">
      <c r="A660">
        <f>Raw_Data!A660</f>
        <v>659</v>
      </c>
      <c r="B660">
        <f>Raw_Data!B660</f>
        <v>40</v>
      </c>
      <c r="C660">
        <f>Raw_Data!D660</f>
        <v>31</v>
      </c>
      <c r="D660">
        <f>Raw_Data!F660</f>
        <v>2</v>
      </c>
      <c r="E660">
        <f>Raw_Data!H660</f>
        <v>0</v>
      </c>
      <c r="F660">
        <f>Raw_Data!G660</f>
        <v>0</v>
      </c>
      <c r="G660">
        <f>Raw_Data!E660</f>
        <v>34402.22</v>
      </c>
      <c r="H660">
        <f>Raw_Data!I660</f>
        <v>35697.06</v>
      </c>
      <c r="I660">
        <f>Raw_Data!J660</f>
        <v>0</v>
      </c>
      <c r="J660">
        <f t="shared" si="21"/>
        <v>2</v>
      </c>
      <c r="K660" t="str">
        <f t="shared" si="22"/>
        <v>Low Risk</v>
      </c>
    </row>
    <row r="661" spans="1:11" x14ac:dyDescent="0.35">
      <c r="A661">
        <f>Raw_Data!A661</f>
        <v>660</v>
      </c>
      <c r="B661">
        <f>Raw_Data!B661</f>
        <v>33</v>
      </c>
      <c r="C661">
        <f>Raw_Data!D661</f>
        <v>5</v>
      </c>
      <c r="D661">
        <f>Raw_Data!F661</f>
        <v>4</v>
      </c>
      <c r="E661">
        <f>Raw_Data!H661</f>
        <v>1</v>
      </c>
      <c r="F661">
        <f>Raw_Data!G661</f>
        <v>0</v>
      </c>
      <c r="G661">
        <f>Raw_Data!E661</f>
        <v>12094.44</v>
      </c>
      <c r="H661">
        <f>Raw_Data!I661</f>
        <v>147005.51999999999</v>
      </c>
      <c r="I661">
        <f>Raw_Data!J661</f>
        <v>0</v>
      </c>
      <c r="J661">
        <f t="shared" si="21"/>
        <v>4</v>
      </c>
      <c r="K661" t="str">
        <f t="shared" si="22"/>
        <v>Medium Risk</v>
      </c>
    </row>
    <row r="662" spans="1:11" x14ac:dyDescent="0.35">
      <c r="A662">
        <f>Raw_Data!A662</f>
        <v>661</v>
      </c>
      <c r="B662">
        <f>Raw_Data!B662</f>
        <v>56</v>
      </c>
      <c r="C662">
        <f>Raw_Data!D662</f>
        <v>34</v>
      </c>
      <c r="D662">
        <f>Raw_Data!F662</f>
        <v>3</v>
      </c>
      <c r="E662">
        <f>Raw_Data!H662</f>
        <v>0</v>
      </c>
      <c r="F662">
        <f>Raw_Data!G662</f>
        <v>0</v>
      </c>
      <c r="G662">
        <f>Raw_Data!E662</f>
        <v>45553.440000000002</v>
      </c>
      <c r="H662">
        <f>Raw_Data!I662</f>
        <v>44301.09</v>
      </c>
      <c r="I662">
        <f>Raw_Data!J662</f>
        <v>0</v>
      </c>
      <c r="J662">
        <f t="shared" si="21"/>
        <v>4</v>
      </c>
      <c r="K662" t="str">
        <f t="shared" si="22"/>
        <v>Medium Risk</v>
      </c>
    </row>
    <row r="663" spans="1:11" x14ac:dyDescent="0.35">
      <c r="A663">
        <f>Raw_Data!A663</f>
        <v>662</v>
      </c>
      <c r="B663">
        <f>Raw_Data!B663</f>
        <v>62</v>
      </c>
      <c r="C663">
        <f>Raw_Data!D663</f>
        <v>10</v>
      </c>
      <c r="D663">
        <f>Raw_Data!F663</f>
        <v>3</v>
      </c>
      <c r="E663">
        <f>Raw_Data!H663</f>
        <v>1</v>
      </c>
      <c r="F663">
        <f>Raw_Data!G663</f>
        <v>1</v>
      </c>
      <c r="G663">
        <f>Raw_Data!E663</f>
        <v>41913.269999999997</v>
      </c>
      <c r="H663">
        <f>Raw_Data!I663</f>
        <v>77885.62</v>
      </c>
      <c r="I663">
        <f>Raw_Data!J663</f>
        <v>0</v>
      </c>
      <c r="J663">
        <f t="shared" si="21"/>
        <v>4</v>
      </c>
      <c r="K663" t="str">
        <f t="shared" si="22"/>
        <v>Medium Risk</v>
      </c>
    </row>
    <row r="664" spans="1:11" x14ac:dyDescent="0.35">
      <c r="A664">
        <f>Raw_Data!A664</f>
        <v>663</v>
      </c>
      <c r="B664">
        <f>Raw_Data!B664</f>
        <v>59</v>
      </c>
      <c r="C664">
        <f>Raw_Data!D664</f>
        <v>2</v>
      </c>
      <c r="D664">
        <f>Raw_Data!F664</f>
        <v>4</v>
      </c>
      <c r="E664">
        <f>Raw_Data!H664</f>
        <v>0</v>
      </c>
      <c r="F664">
        <f>Raw_Data!G664</f>
        <v>0</v>
      </c>
      <c r="G664">
        <f>Raw_Data!E664</f>
        <v>35469.15</v>
      </c>
      <c r="H664">
        <f>Raw_Data!I664</f>
        <v>83455.28</v>
      </c>
      <c r="I664">
        <f>Raw_Data!J664</f>
        <v>0</v>
      </c>
      <c r="J664">
        <f t="shared" si="21"/>
        <v>7</v>
      </c>
      <c r="K664" t="str">
        <f t="shared" si="22"/>
        <v>High Risk</v>
      </c>
    </row>
    <row r="665" spans="1:11" x14ac:dyDescent="0.35">
      <c r="A665">
        <f>Raw_Data!A665</f>
        <v>664</v>
      </c>
      <c r="B665">
        <f>Raw_Data!B665</f>
        <v>56</v>
      </c>
      <c r="C665">
        <f>Raw_Data!D665</f>
        <v>11</v>
      </c>
      <c r="D665">
        <f>Raw_Data!F665</f>
        <v>1</v>
      </c>
      <c r="E665">
        <f>Raw_Data!H665</f>
        <v>1</v>
      </c>
      <c r="F665">
        <f>Raw_Data!G665</f>
        <v>0</v>
      </c>
      <c r="G665">
        <f>Raw_Data!E665</f>
        <v>47442.3</v>
      </c>
      <c r="H665">
        <f>Raw_Data!I665</f>
        <v>125698.16</v>
      </c>
      <c r="I665">
        <f>Raw_Data!J665</f>
        <v>0</v>
      </c>
      <c r="J665">
        <f t="shared" si="21"/>
        <v>4</v>
      </c>
      <c r="K665" t="str">
        <f t="shared" si="22"/>
        <v>Medium Risk</v>
      </c>
    </row>
    <row r="666" spans="1:11" x14ac:dyDescent="0.35">
      <c r="A666">
        <f>Raw_Data!A666</f>
        <v>665</v>
      </c>
      <c r="B666">
        <f>Raw_Data!B666</f>
        <v>31</v>
      </c>
      <c r="C666">
        <f>Raw_Data!D666</f>
        <v>50</v>
      </c>
      <c r="D666">
        <f>Raw_Data!F666</f>
        <v>2</v>
      </c>
      <c r="E666">
        <f>Raw_Data!H666</f>
        <v>1</v>
      </c>
      <c r="F666">
        <f>Raw_Data!G666</f>
        <v>0</v>
      </c>
      <c r="G666">
        <f>Raw_Data!E666</f>
        <v>1571.09</v>
      </c>
      <c r="H666">
        <f>Raw_Data!I666</f>
        <v>32899.85</v>
      </c>
      <c r="I666">
        <f>Raw_Data!J666</f>
        <v>0</v>
      </c>
      <c r="J666">
        <f t="shared" si="21"/>
        <v>0</v>
      </c>
      <c r="K666" t="str">
        <f t="shared" si="22"/>
        <v>Low Risk</v>
      </c>
    </row>
    <row r="667" spans="1:11" x14ac:dyDescent="0.35">
      <c r="A667">
        <f>Raw_Data!A667</f>
        <v>666</v>
      </c>
      <c r="B667">
        <f>Raw_Data!B667</f>
        <v>48</v>
      </c>
      <c r="C667">
        <f>Raw_Data!D667</f>
        <v>31</v>
      </c>
      <c r="D667">
        <f>Raw_Data!F667</f>
        <v>2</v>
      </c>
      <c r="E667">
        <f>Raw_Data!H667</f>
        <v>1</v>
      </c>
      <c r="F667">
        <f>Raw_Data!G667</f>
        <v>0</v>
      </c>
      <c r="G667">
        <f>Raw_Data!E667</f>
        <v>36810.019999999997</v>
      </c>
      <c r="H667">
        <f>Raw_Data!I667</f>
        <v>75723.759999999995</v>
      </c>
      <c r="I667">
        <f>Raw_Data!J667</f>
        <v>0</v>
      </c>
      <c r="J667">
        <f t="shared" si="21"/>
        <v>0</v>
      </c>
      <c r="K667" t="str">
        <f t="shared" si="22"/>
        <v>Low Risk</v>
      </c>
    </row>
    <row r="668" spans="1:11" x14ac:dyDescent="0.35">
      <c r="A668">
        <f>Raw_Data!A668</f>
        <v>667</v>
      </c>
      <c r="B668">
        <f>Raw_Data!B668</f>
        <v>22</v>
      </c>
      <c r="C668">
        <f>Raw_Data!D668</f>
        <v>56</v>
      </c>
      <c r="D668">
        <f>Raw_Data!F668</f>
        <v>2</v>
      </c>
      <c r="E668">
        <f>Raw_Data!H668</f>
        <v>0</v>
      </c>
      <c r="F668">
        <f>Raw_Data!G668</f>
        <v>1</v>
      </c>
      <c r="G668">
        <f>Raw_Data!E668</f>
        <v>16512.14</v>
      </c>
      <c r="H668">
        <f>Raw_Data!I668</f>
        <v>101705.28</v>
      </c>
      <c r="I668">
        <f>Raw_Data!J668</f>
        <v>0</v>
      </c>
      <c r="J668">
        <f t="shared" si="21"/>
        <v>2</v>
      </c>
      <c r="K668" t="str">
        <f t="shared" si="22"/>
        <v>Low Risk</v>
      </c>
    </row>
    <row r="669" spans="1:11" x14ac:dyDescent="0.35">
      <c r="A669">
        <f>Raw_Data!A669</f>
        <v>668</v>
      </c>
      <c r="B669">
        <f>Raw_Data!B669</f>
        <v>52</v>
      </c>
      <c r="C669">
        <f>Raw_Data!D669</f>
        <v>9</v>
      </c>
      <c r="D669">
        <f>Raw_Data!F669</f>
        <v>4</v>
      </c>
      <c r="E669">
        <f>Raw_Data!H669</f>
        <v>0</v>
      </c>
      <c r="F669">
        <f>Raw_Data!G669</f>
        <v>1</v>
      </c>
      <c r="G669">
        <f>Raw_Data!E669</f>
        <v>45303.29</v>
      </c>
      <c r="H669">
        <f>Raw_Data!I669</f>
        <v>47970.23</v>
      </c>
      <c r="I669">
        <f>Raw_Data!J669</f>
        <v>0</v>
      </c>
      <c r="J669">
        <f t="shared" si="21"/>
        <v>7</v>
      </c>
      <c r="K669" t="str">
        <f t="shared" si="22"/>
        <v>High Risk</v>
      </c>
    </row>
    <row r="670" spans="1:11" x14ac:dyDescent="0.35">
      <c r="A670">
        <f>Raw_Data!A670</f>
        <v>669</v>
      </c>
      <c r="B670">
        <f>Raw_Data!B670</f>
        <v>40</v>
      </c>
      <c r="C670">
        <f>Raw_Data!D670</f>
        <v>21</v>
      </c>
      <c r="D670">
        <f>Raw_Data!F670</f>
        <v>3</v>
      </c>
      <c r="E670">
        <f>Raw_Data!H670</f>
        <v>0</v>
      </c>
      <c r="F670">
        <f>Raw_Data!G670</f>
        <v>0</v>
      </c>
      <c r="G670">
        <f>Raw_Data!E670</f>
        <v>13333.76</v>
      </c>
      <c r="H670">
        <f>Raw_Data!I670</f>
        <v>101570.83</v>
      </c>
      <c r="I670">
        <f>Raw_Data!J670</f>
        <v>0</v>
      </c>
      <c r="J670">
        <f t="shared" si="21"/>
        <v>2</v>
      </c>
      <c r="K670" t="str">
        <f t="shared" si="22"/>
        <v>Low Risk</v>
      </c>
    </row>
    <row r="671" spans="1:11" x14ac:dyDescent="0.35">
      <c r="A671">
        <f>Raw_Data!A671</f>
        <v>670</v>
      </c>
      <c r="B671">
        <f>Raw_Data!B671</f>
        <v>46</v>
      </c>
      <c r="C671">
        <f>Raw_Data!D671</f>
        <v>28</v>
      </c>
      <c r="D671">
        <f>Raw_Data!F671</f>
        <v>2</v>
      </c>
      <c r="E671">
        <f>Raw_Data!H671</f>
        <v>0</v>
      </c>
      <c r="F671">
        <f>Raw_Data!G671</f>
        <v>1</v>
      </c>
      <c r="G671">
        <f>Raw_Data!E671</f>
        <v>36242.82</v>
      </c>
      <c r="H671">
        <f>Raw_Data!I671</f>
        <v>140076.43</v>
      </c>
      <c r="I671">
        <f>Raw_Data!J671</f>
        <v>0</v>
      </c>
      <c r="J671">
        <f t="shared" si="21"/>
        <v>2</v>
      </c>
      <c r="K671" t="str">
        <f t="shared" si="22"/>
        <v>Low Risk</v>
      </c>
    </row>
    <row r="672" spans="1:11" x14ac:dyDescent="0.35">
      <c r="A672">
        <f>Raw_Data!A672</f>
        <v>671</v>
      </c>
      <c r="B672">
        <f>Raw_Data!B672</f>
        <v>60</v>
      </c>
      <c r="C672">
        <f>Raw_Data!D672</f>
        <v>62</v>
      </c>
      <c r="D672">
        <f>Raw_Data!F672</f>
        <v>3</v>
      </c>
      <c r="E672">
        <f>Raw_Data!H672</f>
        <v>1</v>
      </c>
      <c r="F672">
        <f>Raw_Data!G672</f>
        <v>1</v>
      </c>
      <c r="G672">
        <f>Raw_Data!E672</f>
        <v>43882.35</v>
      </c>
      <c r="H672">
        <f>Raw_Data!I672</f>
        <v>149677.35999999999</v>
      </c>
      <c r="I672">
        <f>Raw_Data!J672</f>
        <v>0</v>
      </c>
      <c r="J672">
        <f t="shared" si="21"/>
        <v>2</v>
      </c>
      <c r="K672" t="str">
        <f t="shared" si="22"/>
        <v>Low Risk</v>
      </c>
    </row>
    <row r="673" spans="1:11" x14ac:dyDescent="0.35">
      <c r="A673">
        <f>Raw_Data!A673</f>
        <v>672</v>
      </c>
      <c r="B673">
        <f>Raw_Data!B673</f>
        <v>28</v>
      </c>
      <c r="C673">
        <f>Raw_Data!D673</f>
        <v>7</v>
      </c>
      <c r="D673">
        <f>Raw_Data!F673</f>
        <v>2</v>
      </c>
      <c r="E673">
        <f>Raw_Data!H673</f>
        <v>0</v>
      </c>
      <c r="F673">
        <f>Raw_Data!G673</f>
        <v>1</v>
      </c>
      <c r="G673">
        <f>Raw_Data!E673</f>
        <v>2082.84</v>
      </c>
      <c r="H673">
        <f>Raw_Data!I673</f>
        <v>24218.639999999999</v>
      </c>
      <c r="I673">
        <f>Raw_Data!J673</f>
        <v>1</v>
      </c>
      <c r="J673">
        <f t="shared" si="21"/>
        <v>4</v>
      </c>
      <c r="K673" t="str">
        <f t="shared" si="22"/>
        <v>Medium Risk</v>
      </c>
    </row>
    <row r="674" spans="1:11" x14ac:dyDescent="0.35">
      <c r="A674">
        <f>Raw_Data!A674</f>
        <v>673</v>
      </c>
      <c r="B674">
        <f>Raw_Data!B674</f>
        <v>35</v>
      </c>
      <c r="C674">
        <f>Raw_Data!D674</f>
        <v>16</v>
      </c>
      <c r="D674">
        <f>Raw_Data!F674</f>
        <v>2</v>
      </c>
      <c r="E674">
        <f>Raw_Data!H674</f>
        <v>1</v>
      </c>
      <c r="F674">
        <f>Raw_Data!G674</f>
        <v>1</v>
      </c>
      <c r="G674">
        <f>Raw_Data!E674</f>
        <v>19882.38</v>
      </c>
      <c r="H674">
        <f>Raw_Data!I674</f>
        <v>50626.47</v>
      </c>
      <c r="I674">
        <f>Raw_Data!J674</f>
        <v>0</v>
      </c>
      <c r="J674">
        <f t="shared" si="21"/>
        <v>0</v>
      </c>
      <c r="K674" t="str">
        <f t="shared" si="22"/>
        <v>Low Risk</v>
      </c>
    </row>
    <row r="675" spans="1:11" x14ac:dyDescent="0.35">
      <c r="A675">
        <f>Raw_Data!A675</f>
        <v>674</v>
      </c>
      <c r="B675">
        <f>Raw_Data!B675</f>
        <v>64</v>
      </c>
      <c r="C675">
        <f>Raw_Data!D675</f>
        <v>4</v>
      </c>
      <c r="D675">
        <f>Raw_Data!F675</f>
        <v>4</v>
      </c>
      <c r="E675">
        <f>Raw_Data!H675</f>
        <v>1</v>
      </c>
      <c r="F675">
        <f>Raw_Data!G675</f>
        <v>1</v>
      </c>
      <c r="G675">
        <f>Raw_Data!E675</f>
        <v>38115.449999999997</v>
      </c>
      <c r="H675">
        <f>Raw_Data!I675</f>
        <v>60339.93</v>
      </c>
      <c r="I675">
        <f>Raw_Data!J675</f>
        <v>0</v>
      </c>
      <c r="J675">
        <f t="shared" si="21"/>
        <v>5</v>
      </c>
      <c r="K675" t="str">
        <f t="shared" si="22"/>
        <v>High Risk</v>
      </c>
    </row>
    <row r="676" spans="1:11" x14ac:dyDescent="0.35">
      <c r="A676">
        <f>Raw_Data!A676</f>
        <v>675</v>
      </c>
      <c r="B676">
        <f>Raw_Data!B676</f>
        <v>29</v>
      </c>
      <c r="C676">
        <f>Raw_Data!D676</f>
        <v>4</v>
      </c>
      <c r="D676">
        <f>Raw_Data!F676</f>
        <v>1</v>
      </c>
      <c r="E676">
        <f>Raw_Data!H676</f>
        <v>0</v>
      </c>
      <c r="F676">
        <f>Raw_Data!G676</f>
        <v>1</v>
      </c>
      <c r="G676">
        <f>Raw_Data!E676</f>
        <v>22745.94</v>
      </c>
      <c r="H676">
        <f>Raw_Data!I676</f>
        <v>71886.39</v>
      </c>
      <c r="I676">
        <f>Raw_Data!J676</f>
        <v>0</v>
      </c>
      <c r="J676">
        <f t="shared" si="21"/>
        <v>4</v>
      </c>
      <c r="K676" t="str">
        <f t="shared" si="22"/>
        <v>Medium Risk</v>
      </c>
    </row>
    <row r="677" spans="1:11" x14ac:dyDescent="0.35">
      <c r="A677">
        <f>Raw_Data!A677</f>
        <v>676</v>
      </c>
      <c r="B677">
        <f>Raw_Data!B677</f>
        <v>26</v>
      </c>
      <c r="C677">
        <f>Raw_Data!D677</f>
        <v>40</v>
      </c>
      <c r="D677">
        <f>Raw_Data!F677</f>
        <v>4</v>
      </c>
      <c r="E677">
        <f>Raw_Data!H677</f>
        <v>0</v>
      </c>
      <c r="F677">
        <f>Raw_Data!G677</f>
        <v>0</v>
      </c>
      <c r="G677">
        <f>Raw_Data!E677</f>
        <v>13362.63</v>
      </c>
      <c r="H677">
        <f>Raw_Data!I677</f>
        <v>51493.43</v>
      </c>
      <c r="I677">
        <f>Raw_Data!J677</f>
        <v>0</v>
      </c>
      <c r="J677">
        <f t="shared" si="21"/>
        <v>4</v>
      </c>
      <c r="K677" t="str">
        <f t="shared" si="22"/>
        <v>Medium Risk</v>
      </c>
    </row>
    <row r="678" spans="1:11" x14ac:dyDescent="0.35">
      <c r="A678">
        <f>Raw_Data!A678</f>
        <v>677</v>
      </c>
      <c r="B678">
        <f>Raw_Data!B678</f>
        <v>27</v>
      </c>
      <c r="C678">
        <f>Raw_Data!D678</f>
        <v>17</v>
      </c>
      <c r="D678">
        <f>Raw_Data!F678</f>
        <v>2</v>
      </c>
      <c r="E678">
        <f>Raw_Data!H678</f>
        <v>0</v>
      </c>
      <c r="F678">
        <f>Raw_Data!G678</f>
        <v>0</v>
      </c>
      <c r="G678">
        <f>Raw_Data!E678</f>
        <v>10990.27</v>
      </c>
      <c r="H678">
        <f>Raw_Data!I678</f>
        <v>46453.440000000002</v>
      </c>
      <c r="I678">
        <f>Raw_Data!J678</f>
        <v>0</v>
      </c>
      <c r="J678">
        <f t="shared" si="21"/>
        <v>2</v>
      </c>
      <c r="K678" t="str">
        <f t="shared" si="22"/>
        <v>Low Risk</v>
      </c>
    </row>
    <row r="679" spans="1:11" x14ac:dyDescent="0.35">
      <c r="A679">
        <f>Raw_Data!A679</f>
        <v>678</v>
      </c>
      <c r="B679">
        <f>Raw_Data!B679</f>
        <v>61</v>
      </c>
      <c r="C679">
        <f>Raw_Data!D679</f>
        <v>52</v>
      </c>
      <c r="D679">
        <f>Raw_Data!F679</f>
        <v>2</v>
      </c>
      <c r="E679">
        <f>Raw_Data!H679</f>
        <v>1</v>
      </c>
      <c r="F679">
        <f>Raw_Data!G679</f>
        <v>0</v>
      </c>
      <c r="G679">
        <f>Raw_Data!E679</f>
        <v>6575.91</v>
      </c>
      <c r="H679">
        <f>Raw_Data!I679</f>
        <v>144092</v>
      </c>
      <c r="I679">
        <f>Raw_Data!J679</f>
        <v>0</v>
      </c>
      <c r="J679">
        <f t="shared" si="21"/>
        <v>1</v>
      </c>
      <c r="K679" t="str">
        <f t="shared" si="22"/>
        <v>Low Risk</v>
      </c>
    </row>
    <row r="680" spans="1:11" x14ac:dyDescent="0.35">
      <c r="A680">
        <f>Raw_Data!A680</f>
        <v>679</v>
      </c>
      <c r="B680">
        <f>Raw_Data!B680</f>
        <v>34</v>
      </c>
      <c r="C680">
        <f>Raw_Data!D680</f>
        <v>52</v>
      </c>
      <c r="D680">
        <f>Raw_Data!F680</f>
        <v>1</v>
      </c>
      <c r="E680">
        <f>Raw_Data!H680</f>
        <v>0</v>
      </c>
      <c r="F680">
        <f>Raw_Data!G680</f>
        <v>0</v>
      </c>
      <c r="G680">
        <f>Raw_Data!E680</f>
        <v>42856.480000000003</v>
      </c>
      <c r="H680">
        <f>Raw_Data!I680</f>
        <v>139407.81</v>
      </c>
      <c r="I680">
        <f>Raw_Data!J680</f>
        <v>0</v>
      </c>
      <c r="J680">
        <f t="shared" si="21"/>
        <v>3</v>
      </c>
      <c r="K680" t="str">
        <f t="shared" si="22"/>
        <v>Medium Risk</v>
      </c>
    </row>
    <row r="681" spans="1:11" x14ac:dyDescent="0.35">
      <c r="A681">
        <f>Raw_Data!A681</f>
        <v>680</v>
      </c>
      <c r="B681">
        <f>Raw_Data!B681</f>
        <v>55</v>
      </c>
      <c r="C681">
        <f>Raw_Data!D681</f>
        <v>36</v>
      </c>
      <c r="D681">
        <f>Raw_Data!F681</f>
        <v>3</v>
      </c>
      <c r="E681">
        <f>Raw_Data!H681</f>
        <v>1</v>
      </c>
      <c r="F681">
        <f>Raw_Data!G681</f>
        <v>0</v>
      </c>
      <c r="G681">
        <f>Raw_Data!E681</f>
        <v>28767.77</v>
      </c>
      <c r="H681">
        <f>Raw_Data!I681</f>
        <v>26109.03</v>
      </c>
      <c r="I681">
        <f>Raw_Data!J681</f>
        <v>0</v>
      </c>
      <c r="J681">
        <f t="shared" si="21"/>
        <v>0</v>
      </c>
      <c r="K681" t="str">
        <f t="shared" si="22"/>
        <v>Low Risk</v>
      </c>
    </row>
    <row r="682" spans="1:11" x14ac:dyDescent="0.35">
      <c r="A682">
        <f>Raw_Data!A682</f>
        <v>681</v>
      </c>
      <c r="B682">
        <f>Raw_Data!B682</f>
        <v>24</v>
      </c>
      <c r="C682">
        <f>Raw_Data!D682</f>
        <v>38</v>
      </c>
      <c r="D682">
        <f>Raw_Data!F682</f>
        <v>3</v>
      </c>
      <c r="E682">
        <f>Raw_Data!H682</f>
        <v>0</v>
      </c>
      <c r="F682">
        <f>Raw_Data!G682</f>
        <v>1</v>
      </c>
      <c r="G682">
        <f>Raw_Data!E682</f>
        <v>3819.25</v>
      </c>
      <c r="H682">
        <f>Raw_Data!I682</f>
        <v>64045.69</v>
      </c>
      <c r="I682">
        <f>Raw_Data!J682</f>
        <v>0</v>
      </c>
      <c r="J682">
        <f t="shared" si="21"/>
        <v>2</v>
      </c>
      <c r="K682" t="str">
        <f t="shared" si="22"/>
        <v>Low Risk</v>
      </c>
    </row>
    <row r="683" spans="1:11" x14ac:dyDescent="0.35">
      <c r="A683">
        <f>Raw_Data!A683</f>
        <v>682</v>
      </c>
      <c r="B683">
        <f>Raw_Data!B683</f>
        <v>63</v>
      </c>
      <c r="C683">
        <f>Raw_Data!D683</f>
        <v>50</v>
      </c>
      <c r="D683">
        <f>Raw_Data!F683</f>
        <v>2</v>
      </c>
      <c r="E683">
        <f>Raw_Data!H683</f>
        <v>1</v>
      </c>
      <c r="F683">
        <f>Raw_Data!G683</f>
        <v>0</v>
      </c>
      <c r="G683">
        <f>Raw_Data!E683</f>
        <v>19129.02</v>
      </c>
      <c r="H683">
        <f>Raw_Data!I683</f>
        <v>72669.31</v>
      </c>
      <c r="I683">
        <f>Raw_Data!J683</f>
        <v>0</v>
      </c>
      <c r="J683">
        <f t="shared" si="21"/>
        <v>1</v>
      </c>
      <c r="K683" t="str">
        <f t="shared" si="22"/>
        <v>Low Risk</v>
      </c>
    </row>
    <row r="684" spans="1:11" x14ac:dyDescent="0.35">
      <c r="A684">
        <f>Raw_Data!A684</f>
        <v>683</v>
      </c>
      <c r="B684">
        <f>Raw_Data!B684</f>
        <v>30</v>
      </c>
      <c r="C684">
        <f>Raw_Data!D684</f>
        <v>63</v>
      </c>
      <c r="D684">
        <f>Raw_Data!F684</f>
        <v>3</v>
      </c>
      <c r="E684">
        <f>Raw_Data!H684</f>
        <v>0</v>
      </c>
      <c r="F684">
        <f>Raw_Data!G684</f>
        <v>0</v>
      </c>
      <c r="G684">
        <f>Raw_Data!E684</f>
        <v>18386.68</v>
      </c>
      <c r="H684">
        <f>Raw_Data!I684</f>
        <v>51071.89</v>
      </c>
      <c r="I684">
        <f>Raw_Data!J684</f>
        <v>0</v>
      </c>
      <c r="J684">
        <f t="shared" si="21"/>
        <v>2</v>
      </c>
      <c r="K684" t="str">
        <f t="shared" si="22"/>
        <v>Low Risk</v>
      </c>
    </row>
    <row r="685" spans="1:11" x14ac:dyDescent="0.35">
      <c r="A685">
        <f>Raw_Data!A685</f>
        <v>684</v>
      </c>
      <c r="B685">
        <f>Raw_Data!B685</f>
        <v>57</v>
      </c>
      <c r="C685">
        <f>Raw_Data!D685</f>
        <v>63</v>
      </c>
      <c r="D685">
        <f>Raw_Data!F685</f>
        <v>2</v>
      </c>
      <c r="E685">
        <f>Raw_Data!H685</f>
        <v>0</v>
      </c>
      <c r="F685">
        <f>Raw_Data!G685</f>
        <v>1</v>
      </c>
      <c r="G685">
        <f>Raw_Data!E685</f>
        <v>9086.9599999999991</v>
      </c>
      <c r="H685">
        <f>Raw_Data!I685</f>
        <v>101753.48</v>
      </c>
      <c r="I685">
        <f>Raw_Data!J685</f>
        <v>0</v>
      </c>
      <c r="J685">
        <f t="shared" si="21"/>
        <v>3</v>
      </c>
      <c r="K685" t="str">
        <f t="shared" si="22"/>
        <v>Medium Risk</v>
      </c>
    </row>
    <row r="686" spans="1:11" x14ac:dyDescent="0.35">
      <c r="A686">
        <f>Raw_Data!A686</f>
        <v>685</v>
      </c>
      <c r="B686">
        <f>Raw_Data!B686</f>
        <v>59</v>
      </c>
      <c r="C686">
        <f>Raw_Data!D686</f>
        <v>62</v>
      </c>
      <c r="D686">
        <f>Raw_Data!F686</f>
        <v>1</v>
      </c>
      <c r="E686">
        <f>Raw_Data!H686</f>
        <v>1</v>
      </c>
      <c r="F686">
        <f>Raw_Data!G686</f>
        <v>1</v>
      </c>
      <c r="G686">
        <f>Raw_Data!E686</f>
        <v>21775.38</v>
      </c>
      <c r="H686">
        <f>Raw_Data!I686</f>
        <v>103249.5</v>
      </c>
      <c r="I686">
        <f>Raw_Data!J686</f>
        <v>0</v>
      </c>
      <c r="J686">
        <f t="shared" si="21"/>
        <v>1</v>
      </c>
      <c r="K686" t="str">
        <f t="shared" si="22"/>
        <v>Low Risk</v>
      </c>
    </row>
    <row r="687" spans="1:11" x14ac:dyDescent="0.35">
      <c r="A687">
        <f>Raw_Data!A687</f>
        <v>686</v>
      </c>
      <c r="B687">
        <f>Raw_Data!B687</f>
        <v>26</v>
      </c>
      <c r="C687">
        <f>Raw_Data!D687</f>
        <v>7</v>
      </c>
      <c r="D687">
        <f>Raw_Data!F687</f>
        <v>1</v>
      </c>
      <c r="E687">
        <f>Raw_Data!H687</f>
        <v>0</v>
      </c>
      <c r="F687">
        <f>Raw_Data!G687</f>
        <v>0</v>
      </c>
      <c r="G687">
        <f>Raw_Data!E687</f>
        <v>16604.97</v>
      </c>
      <c r="H687">
        <f>Raw_Data!I687</f>
        <v>130565.55</v>
      </c>
      <c r="I687">
        <f>Raw_Data!J687</f>
        <v>0</v>
      </c>
      <c r="J687">
        <f t="shared" si="21"/>
        <v>4</v>
      </c>
      <c r="K687" t="str">
        <f t="shared" si="22"/>
        <v>Medium Risk</v>
      </c>
    </row>
    <row r="688" spans="1:11" x14ac:dyDescent="0.35">
      <c r="A688">
        <f>Raw_Data!A688</f>
        <v>687</v>
      </c>
      <c r="B688">
        <f>Raw_Data!B688</f>
        <v>67</v>
      </c>
      <c r="C688">
        <f>Raw_Data!D688</f>
        <v>27</v>
      </c>
      <c r="D688">
        <f>Raw_Data!F688</f>
        <v>2</v>
      </c>
      <c r="E688">
        <f>Raw_Data!H688</f>
        <v>0</v>
      </c>
      <c r="F688">
        <f>Raw_Data!G688</f>
        <v>1</v>
      </c>
      <c r="G688">
        <f>Raw_Data!E688</f>
        <v>17090.189999999999</v>
      </c>
      <c r="H688">
        <f>Raw_Data!I688</f>
        <v>116313</v>
      </c>
      <c r="I688">
        <f>Raw_Data!J688</f>
        <v>0</v>
      </c>
      <c r="J688">
        <f t="shared" si="21"/>
        <v>3</v>
      </c>
      <c r="K688" t="str">
        <f t="shared" si="22"/>
        <v>Medium Risk</v>
      </c>
    </row>
    <row r="689" spans="1:11" x14ac:dyDescent="0.35">
      <c r="A689">
        <f>Raw_Data!A689</f>
        <v>688</v>
      </c>
      <c r="B689">
        <f>Raw_Data!B689</f>
        <v>44</v>
      </c>
      <c r="C689">
        <f>Raw_Data!D689</f>
        <v>14</v>
      </c>
      <c r="D689">
        <f>Raw_Data!F689</f>
        <v>1</v>
      </c>
      <c r="E689">
        <f>Raw_Data!H689</f>
        <v>0</v>
      </c>
      <c r="F689">
        <f>Raw_Data!G689</f>
        <v>1</v>
      </c>
      <c r="G689">
        <f>Raw_Data!E689</f>
        <v>36951.33</v>
      </c>
      <c r="H689">
        <f>Raw_Data!I689</f>
        <v>90534.53</v>
      </c>
      <c r="I689">
        <f>Raw_Data!J689</f>
        <v>0</v>
      </c>
      <c r="J689">
        <f t="shared" si="21"/>
        <v>2</v>
      </c>
      <c r="K689" t="str">
        <f t="shared" si="22"/>
        <v>Low Risk</v>
      </c>
    </row>
    <row r="690" spans="1:11" x14ac:dyDescent="0.35">
      <c r="A690">
        <f>Raw_Data!A690</f>
        <v>689</v>
      </c>
      <c r="B690">
        <f>Raw_Data!B690</f>
        <v>19</v>
      </c>
      <c r="C690">
        <f>Raw_Data!D690</f>
        <v>71</v>
      </c>
      <c r="D690">
        <f>Raw_Data!F690</f>
        <v>4</v>
      </c>
      <c r="E690">
        <f>Raw_Data!H690</f>
        <v>0</v>
      </c>
      <c r="F690">
        <f>Raw_Data!G690</f>
        <v>1</v>
      </c>
      <c r="G690">
        <f>Raw_Data!E690</f>
        <v>11163.17</v>
      </c>
      <c r="H690">
        <f>Raw_Data!I690</f>
        <v>104966.28</v>
      </c>
      <c r="I690">
        <f>Raw_Data!J690</f>
        <v>0</v>
      </c>
      <c r="J690">
        <f t="shared" si="21"/>
        <v>4</v>
      </c>
      <c r="K690" t="str">
        <f t="shared" si="22"/>
        <v>Medium Risk</v>
      </c>
    </row>
    <row r="691" spans="1:11" x14ac:dyDescent="0.35">
      <c r="A691">
        <f>Raw_Data!A691</f>
        <v>690</v>
      </c>
      <c r="B691">
        <f>Raw_Data!B691</f>
        <v>22</v>
      </c>
      <c r="C691">
        <f>Raw_Data!D691</f>
        <v>5</v>
      </c>
      <c r="D691">
        <f>Raw_Data!F691</f>
        <v>4</v>
      </c>
      <c r="E691">
        <f>Raw_Data!H691</f>
        <v>0</v>
      </c>
      <c r="F691">
        <f>Raw_Data!G691</f>
        <v>1</v>
      </c>
      <c r="G691">
        <f>Raw_Data!E691</f>
        <v>32093</v>
      </c>
      <c r="H691">
        <f>Raw_Data!I691</f>
        <v>55618.54</v>
      </c>
      <c r="I691">
        <f>Raw_Data!J691</f>
        <v>0</v>
      </c>
      <c r="J691">
        <f t="shared" si="21"/>
        <v>6</v>
      </c>
      <c r="K691" t="str">
        <f t="shared" si="22"/>
        <v>High Risk</v>
      </c>
    </row>
    <row r="692" spans="1:11" x14ac:dyDescent="0.35">
      <c r="A692">
        <f>Raw_Data!A692</f>
        <v>691</v>
      </c>
      <c r="B692">
        <f>Raw_Data!B692</f>
        <v>46</v>
      </c>
      <c r="C692">
        <f>Raw_Data!D692</f>
        <v>55</v>
      </c>
      <c r="D692">
        <f>Raw_Data!F692</f>
        <v>1</v>
      </c>
      <c r="E692">
        <f>Raw_Data!H692</f>
        <v>0</v>
      </c>
      <c r="F692">
        <f>Raw_Data!G692</f>
        <v>0</v>
      </c>
      <c r="G692">
        <f>Raw_Data!E692</f>
        <v>28532.48</v>
      </c>
      <c r="H692">
        <f>Raw_Data!I692</f>
        <v>97097.3</v>
      </c>
      <c r="I692">
        <f>Raw_Data!J692</f>
        <v>0</v>
      </c>
      <c r="J692">
        <f t="shared" si="21"/>
        <v>2</v>
      </c>
      <c r="K692" t="str">
        <f t="shared" si="22"/>
        <v>Low Risk</v>
      </c>
    </row>
    <row r="693" spans="1:11" x14ac:dyDescent="0.35">
      <c r="A693">
        <f>Raw_Data!A693</f>
        <v>692</v>
      </c>
      <c r="B693">
        <f>Raw_Data!B693</f>
        <v>54</v>
      </c>
      <c r="C693">
        <f>Raw_Data!D693</f>
        <v>2</v>
      </c>
      <c r="D693">
        <f>Raw_Data!F693</f>
        <v>2</v>
      </c>
      <c r="E693">
        <f>Raw_Data!H693</f>
        <v>0</v>
      </c>
      <c r="F693">
        <f>Raw_Data!G693</f>
        <v>1</v>
      </c>
      <c r="G693">
        <f>Raw_Data!E693</f>
        <v>28404.63</v>
      </c>
      <c r="H693">
        <f>Raw_Data!I693</f>
        <v>83599.539999999994</v>
      </c>
      <c r="I693">
        <f>Raw_Data!J693</f>
        <v>0</v>
      </c>
      <c r="J693">
        <f t="shared" si="21"/>
        <v>4</v>
      </c>
      <c r="K693" t="str">
        <f t="shared" si="22"/>
        <v>Medium Risk</v>
      </c>
    </row>
    <row r="694" spans="1:11" x14ac:dyDescent="0.35">
      <c r="A694">
        <f>Raw_Data!A694</f>
        <v>693</v>
      </c>
      <c r="B694">
        <f>Raw_Data!B694</f>
        <v>55</v>
      </c>
      <c r="C694">
        <f>Raw_Data!D694</f>
        <v>62</v>
      </c>
      <c r="D694">
        <f>Raw_Data!F694</f>
        <v>2</v>
      </c>
      <c r="E694">
        <f>Raw_Data!H694</f>
        <v>1</v>
      </c>
      <c r="F694">
        <f>Raw_Data!G694</f>
        <v>0</v>
      </c>
      <c r="G694">
        <f>Raw_Data!E694</f>
        <v>33150.370000000003</v>
      </c>
      <c r="H694">
        <f>Raw_Data!I694</f>
        <v>37334.78</v>
      </c>
      <c r="I694">
        <f>Raw_Data!J694</f>
        <v>0</v>
      </c>
      <c r="J694">
        <f t="shared" si="21"/>
        <v>0</v>
      </c>
      <c r="K694" t="str">
        <f t="shared" si="22"/>
        <v>Low Risk</v>
      </c>
    </row>
    <row r="695" spans="1:11" x14ac:dyDescent="0.35">
      <c r="A695">
        <f>Raw_Data!A695</f>
        <v>694</v>
      </c>
      <c r="B695">
        <f>Raw_Data!B695</f>
        <v>36</v>
      </c>
      <c r="C695">
        <f>Raw_Data!D695</f>
        <v>21</v>
      </c>
      <c r="D695">
        <f>Raw_Data!F695</f>
        <v>1</v>
      </c>
      <c r="E695">
        <f>Raw_Data!H695</f>
        <v>1</v>
      </c>
      <c r="F695">
        <f>Raw_Data!G695</f>
        <v>0</v>
      </c>
      <c r="G695">
        <f>Raw_Data!E695</f>
        <v>27419.1</v>
      </c>
      <c r="H695">
        <f>Raw_Data!I695</f>
        <v>51530.76</v>
      </c>
      <c r="I695">
        <f>Raw_Data!J695</f>
        <v>0</v>
      </c>
      <c r="J695">
        <f t="shared" si="21"/>
        <v>0</v>
      </c>
      <c r="K695" t="str">
        <f t="shared" si="22"/>
        <v>Low Risk</v>
      </c>
    </row>
    <row r="696" spans="1:11" x14ac:dyDescent="0.35">
      <c r="A696">
        <f>Raw_Data!A696</f>
        <v>695</v>
      </c>
      <c r="B696">
        <f>Raw_Data!B696</f>
        <v>25</v>
      </c>
      <c r="C696">
        <f>Raw_Data!D696</f>
        <v>21</v>
      </c>
      <c r="D696">
        <f>Raw_Data!F696</f>
        <v>3</v>
      </c>
      <c r="E696">
        <f>Raw_Data!H696</f>
        <v>0</v>
      </c>
      <c r="F696">
        <f>Raw_Data!G696</f>
        <v>1</v>
      </c>
      <c r="G696">
        <f>Raw_Data!E696</f>
        <v>43962.76</v>
      </c>
      <c r="H696">
        <f>Raw_Data!I696</f>
        <v>57920.15</v>
      </c>
      <c r="I696">
        <f>Raw_Data!J696</f>
        <v>0</v>
      </c>
      <c r="J696">
        <f t="shared" si="21"/>
        <v>3</v>
      </c>
      <c r="K696" t="str">
        <f t="shared" si="22"/>
        <v>Medium Risk</v>
      </c>
    </row>
    <row r="697" spans="1:11" x14ac:dyDescent="0.35">
      <c r="A697">
        <f>Raw_Data!A697</f>
        <v>696</v>
      </c>
      <c r="B697">
        <f>Raw_Data!B697</f>
        <v>65</v>
      </c>
      <c r="C697">
        <f>Raw_Data!D697</f>
        <v>10</v>
      </c>
      <c r="D697">
        <f>Raw_Data!F697</f>
        <v>4</v>
      </c>
      <c r="E697">
        <f>Raw_Data!H697</f>
        <v>0</v>
      </c>
      <c r="F697">
        <f>Raw_Data!G697</f>
        <v>1</v>
      </c>
      <c r="G697">
        <f>Raw_Data!E697</f>
        <v>33779</v>
      </c>
      <c r="H697">
        <f>Raw_Data!I697</f>
        <v>140160.24</v>
      </c>
      <c r="I697">
        <f>Raw_Data!J697</f>
        <v>0</v>
      </c>
      <c r="J697">
        <f t="shared" si="21"/>
        <v>7</v>
      </c>
      <c r="K697" t="str">
        <f t="shared" si="22"/>
        <v>High Risk</v>
      </c>
    </row>
    <row r="698" spans="1:11" x14ac:dyDescent="0.35">
      <c r="A698">
        <f>Raw_Data!A698</f>
        <v>697</v>
      </c>
      <c r="B698">
        <f>Raw_Data!B698</f>
        <v>62</v>
      </c>
      <c r="C698">
        <f>Raw_Data!D698</f>
        <v>58</v>
      </c>
      <c r="D698">
        <f>Raw_Data!F698</f>
        <v>3</v>
      </c>
      <c r="E698">
        <f>Raw_Data!H698</f>
        <v>0</v>
      </c>
      <c r="F698">
        <f>Raw_Data!G698</f>
        <v>1</v>
      </c>
      <c r="G698">
        <f>Raw_Data!E698</f>
        <v>27348.16</v>
      </c>
      <c r="H698">
        <f>Raw_Data!I698</f>
        <v>49950.26</v>
      </c>
      <c r="I698">
        <f>Raw_Data!J698</f>
        <v>0</v>
      </c>
      <c r="J698">
        <f t="shared" si="21"/>
        <v>3</v>
      </c>
      <c r="K698" t="str">
        <f t="shared" si="22"/>
        <v>Medium Risk</v>
      </c>
    </row>
    <row r="699" spans="1:11" x14ac:dyDescent="0.35">
      <c r="A699">
        <f>Raw_Data!A699</f>
        <v>698</v>
      </c>
      <c r="B699">
        <f>Raw_Data!B699</f>
        <v>18</v>
      </c>
      <c r="C699">
        <f>Raw_Data!D699</f>
        <v>39</v>
      </c>
      <c r="D699">
        <f>Raw_Data!F699</f>
        <v>2</v>
      </c>
      <c r="E699">
        <f>Raw_Data!H699</f>
        <v>1</v>
      </c>
      <c r="F699">
        <f>Raw_Data!G699</f>
        <v>0</v>
      </c>
      <c r="G699">
        <f>Raw_Data!E699</f>
        <v>41488.160000000003</v>
      </c>
      <c r="H699">
        <f>Raw_Data!I699</f>
        <v>57601.71</v>
      </c>
      <c r="I699">
        <f>Raw_Data!J699</f>
        <v>0</v>
      </c>
      <c r="J699">
        <f t="shared" si="21"/>
        <v>1</v>
      </c>
      <c r="K699" t="str">
        <f t="shared" si="22"/>
        <v>Low Risk</v>
      </c>
    </row>
    <row r="700" spans="1:11" x14ac:dyDescent="0.35">
      <c r="A700">
        <f>Raw_Data!A700</f>
        <v>699</v>
      </c>
      <c r="B700">
        <f>Raw_Data!B700</f>
        <v>39</v>
      </c>
      <c r="C700">
        <f>Raw_Data!D700</f>
        <v>5</v>
      </c>
      <c r="D700">
        <f>Raw_Data!F700</f>
        <v>2</v>
      </c>
      <c r="E700">
        <f>Raw_Data!H700</f>
        <v>1</v>
      </c>
      <c r="F700">
        <f>Raw_Data!G700</f>
        <v>1</v>
      </c>
      <c r="G700">
        <f>Raw_Data!E700</f>
        <v>30307.33</v>
      </c>
      <c r="H700">
        <f>Raw_Data!I700</f>
        <v>68016.039999999994</v>
      </c>
      <c r="I700">
        <f>Raw_Data!J700</f>
        <v>0</v>
      </c>
      <c r="J700">
        <f t="shared" si="21"/>
        <v>2</v>
      </c>
      <c r="K700" t="str">
        <f t="shared" si="22"/>
        <v>Low Risk</v>
      </c>
    </row>
    <row r="701" spans="1:11" x14ac:dyDescent="0.35">
      <c r="A701">
        <f>Raw_Data!A701</f>
        <v>700</v>
      </c>
      <c r="B701">
        <f>Raw_Data!B701</f>
        <v>69</v>
      </c>
      <c r="C701">
        <f>Raw_Data!D701</f>
        <v>65</v>
      </c>
      <c r="D701">
        <f>Raw_Data!F701</f>
        <v>3</v>
      </c>
      <c r="E701">
        <f>Raw_Data!H701</f>
        <v>0</v>
      </c>
      <c r="F701">
        <f>Raw_Data!G701</f>
        <v>1</v>
      </c>
      <c r="G701">
        <f>Raw_Data!E701</f>
        <v>14557.21</v>
      </c>
      <c r="H701">
        <f>Raw_Data!I701</f>
        <v>106286.56</v>
      </c>
      <c r="I701">
        <f>Raw_Data!J701</f>
        <v>0</v>
      </c>
      <c r="J701">
        <f t="shared" si="21"/>
        <v>3</v>
      </c>
      <c r="K701" t="str">
        <f t="shared" si="22"/>
        <v>Medium Risk</v>
      </c>
    </row>
    <row r="702" spans="1:11" x14ac:dyDescent="0.35">
      <c r="A702">
        <f>Raw_Data!A702</f>
        <v>701</v>
      </c>
      <c r="B702">
        <f>Raw_Data!B702</f>
        <v>34</v>
      </c>
      <c r="C702">
        <f>Raw_Data!D702</f>
        <v>13</v>
      </c>
      <c r="D702">
        <f>Raw_Data!F702</f>
        <v>1</v>
      </c>
      <c r="E702">
        <f>Raw_Data!H702</f>
        <v>1</v>
      </c>
      <c r="F702">
        <f>Raw_Data!G702</f>
        <v>1</v>
      </c>
      <c r="G702">
        <f>Raw_Data!E702</f>
        <v>10354.75</v>
      </c>
      <c r="H702">
        <f>Raw_Data!I702</f>
        <v>35370.99</v>
      </c>
      <c r="I702">
        <f>Raw_Data!J702</f>
        <v>0</v>
      </c>
      <c r="J702">
        <f t="shared" si="21"/>
        <v>0</v>
      </c>
      <c r="K702" t="str">
        <f t="shared" si="22"/>
        <v>Low Risk</v>
      </c>
    </row>
    <row r="703" spans="1:11" x14ac:dyDescent="0.35">
      <c r="A703">
        <f>Raw_Data!A703</f>
        <v>702</v>
      </c>
      <c r="B703">
        <f>Raw_Data!B703</f>
        <v>24</v>
      </c>
      <c r="C703">
        <f>Raw_Data!D703</f>
        <v>53</v>
      </c>
      <c r="D703">
        <f>Raw_Data!F703</f>
        <v>3</v>
      </c>
      <c r="E703">
        <f>Raw_Data!H703</f>
        <v>0</v>
      </c>
      <c r="F703">
        <f>Raw_Data!G703</f>
        <v>1</v>
      </c>
      <c r="G703">
        <f>Raw_Data!E703</f>
        <v>7616.39</v>
      </c>
      <c r="H703">
        <f>Raw_Data!I703</f>
        <v>144012.88</v>
      </c>
      <c r="I703">
        <f>Raw_Data!J703</f>
        <v>0</v>
      </c>
      <c r="J703">
        <f t="shared" si="21"/>
        <v>2</v>
      </c>
      <c r="K703" t="str">
        <f t="shared" si="22"/>
        <v>Low Risk</v>
      </c>
    </row>
    <row r="704" spans="1:11" x14ac:dyDescent="0.35">
      <c r="A704">
        <f>Raw_Data!A704</f>
        <v>703</v>
      </c>
      <c r="B704">
        <f>Raw_Data!B704</f>
        <v>42</v>
      </c>
      <c r="C704">
        <f>Raw_Data!D704</f>
        <v>45</v>
      </c>
      <c r="D704">
        <f>Raw_Data!F704</f>
        <v>3</v>
      </c>
      <c r="E704">
        <f>Raw_Data!H704</f>
        <v>0</v>
      </c>
      <c r="F704">
        <f>Raw_Data!G704</f>
        <v>1</v>
      </c>
      <c r="G704">
        <f>Raw_Data!E704</f>
        <v>44972.76</v>
      </c>
      <c r="H704">
        <f>Raw_Data!I704</f>
        <v>132524.26</v>
      </c>
      <c r="I704">
        <f>Raw_Data!J704</f>
        <v>0</v>
      </c>
      <c r="J704">
        <f t="shared" si="21"/>
        <v>3</v>
      </c>
      <c r="K704" t="str">
        <f t="shared" si="22"/>
        <v>Medium Risk</v>
      </c>
    </row>
    <row r="705" spans="1:11" x14ac:dyDescent="0.35">
      <c r="A705">
        <f>Raw_Data!A705</f>
        <v>704</v>
      </c>
      <c r="B705">
        <f>Raw_Data!B705</f>
        <v>62</v>
      </c>
      <c r="C705">
        <f>Raw_Data!D705</f>
        <v>32</v>
      </c>
      <c r="D705">
        <f>Raw_Data!F705</f>
        <v>4</v>
      </c>
      <c r="E705">
        <f>Raw_Data!H705</f>
        <v>0</v>
      </c>
      <c r="F705">
        <f>Raw_Data!G705</f>
        <v>0</v>
      </c>
      <c r="G705">
        <f>Raw_Data!E705</f>
        <v>35506.769999999997</v>
      </c>
      <c r="H705">
        <f>Raw_Data!I705</f>
        <v>95038.09</v>
      </c>
      <c r="I705">
        <f>Raw_Data!J705</f>
        <v>0</v>
      </c>
      <c r="J705">
        <f t="shared" si="21"/>
        <v>5</v>
      </c>
      <c r="K705" t="str">
        <f t="shared" si="22"/>
        <v>High Risk</v>
      </c>
    </row>
    <row r="706" spans="1:11" x14ac:dyDescent="0.35">
      <c r="A706">
        <f>Raw_Data!A706</f>
        <v>705</v>
      </c>
      <c r="B706">
        <f>Raw_Data!B706</f>
        <v>21</v>
      </c>
      <c r="C706">
        <f>Raw_Data!D706</f>
        <v>36</v>
      </c>
      <c r="D706">
        <f>Raw_Data!F706</f>
        <v>4</v>
      </c>
      <c r="E706">
        <f>Raw_Data!H706</f>
        <v>0</v>
      </c>
      <c r="F706">
        <f>Raw_Data!G706</f>
        <v>1</v>
      </c>
      <c r="G706">
        <f>Raw_Data!E706</f>
        <v>46868.92</v>
      </c>
      <c r="H706">
        <f>Raw_Data!I706</f>
        <v>107624.92</v>
      </c>
      <c r="I706">
        <f>Raw_Data!J706</f>
        <v>0</v>
      </c>
      <c r="J706">
        <f t="shared" si="21"/>
        <v>5</v>
      </c>
      <c r="K706" t="str">
        <f t="shared" si="22"/>
        <v>High Risk</v>
      </c>
    </row>
    <row r="707" spans="1:11" x14ac:dyDescent="0.35">
      <c r="A707">
        <f>Raw_Data!A707</f>
        <v>706</v>
      </c>
      <c r="B707">
        <f>Raw_Data!B707</f>
        <v>53</v>
      </c>
      <c r="C707">
        <f>Raw_Data!D707</f>
        <v>60</v>
      </c>
      <c r="D707">
        <f>Raw_Data!F707</f>
        <v>3</v>
      </c>
      <c r="E707">
        <f>Raw_Data!H707</f>
        <v>1</v>
      </c>
      <c r="F707">
        <f>Raw_Data!G707</f>
        <v>1</v>
      </c>
      <c r="G707">
        <f>Raw_Data!E707</f>
        <v>30164.59</v>
      </c>
      <c r="H707">
        <f>Raw_Data!I707</f>
        <v>22165.86</v>
      </c>
      <c r="I707">
        <f>Raw_Data!J707</f>
        <v>0</v>
      </c>
      <c r="J707">
        <f t="shared" ref="J707:J770" si="23">IF(E707=0,2,0)+IF(D707=4,2,0)+IF(C707&lt;=12,2,0)+IF(B707&gt;=56,1,0)+IF(G707&gt;=40000,1,0)</f>
        <v>0</v>
      </c>
      <c r="K707" t="str">
        <f t="shared" ref="K707:K770" si="24">IF(J707&gt;=5,"High Risk",IF(J707&gt;=3,"Medium Risk","Low Risk"))</f>
        <v>Low Risk</v>
      </c>
    </row>
    <row r="708" spans="1:11" x14ac:dyDescent="0.35">
      <c r="A708">
        <f>Raw_Data!A708</f>
        <v>707</v>
      </c>
      <c r="B708">
        <f>Raw_Data!B708</f>
        <v>23</v>
      </c>
      <c r="C708">
        <f>Raw_Data!D708</f>
        <v>11</v>
      </c>
      <c r="D708">
        <f>Raw_Data!F708</f>
        <v>3</v>
      </c>
      <c r="E708">
        <f>Raw_Data!H708</f>
        <v>1</v>
      </c>
      <c r="F708">
        <f>Raw_Data!G708</f>
        <v>1</v>
      </c>
      <c r="G708">
        <f>Raw_Data!E708</f>
        <v>23670.04</v>
      </c>
      <c r="H708">
        <f>Raw_Data!I708</f>
        <v>64062.82</v>
      </c>
      <c r="I708">
        <f>Raw_Data!J708</f>
        <v>0</v>
      </c>
      <c r="J708">
        <f t="shared" si="23"/>
        <v>2</v>
      </c>
      <c r="K708" t="str">
        <f t="shared" si="24"/>
        <v>Low Risk</v>
      </c>
    </row>
    <row r="709" spans="1:11" x14ac:dyDescent="0.35">
      <c r="A709">
        <f>Raw_Data!A709</f>
        <v>708</v>
      </c>
      <c r="B709">
        <f>Raw_Data!B709</f>
        <v>48</v>
      </c>
      <c r="C709">
        <f>Raw_Data!D709</f>
        <v>63</v>
      </c>
      <c r="D709">
        <f>Raw_Data!F709</f>
        <v>2</v>
      </c>
      <c r="E709">
        <f>Raw_Data!H709</f>
        <v>0</v>
      </c>
      <c r="F709">
        <f>Raw_Data!G709</f>
        <v>0</v>
      </c>
      <c r="G709">
        <f>Raw_Data!E709</f>
        <v>2985.82</v>
      </c>
      <c r="H709">
        <f>Raw_Data!I709</f>
        <v>123435.83</v>
      </c>
      <c r="I709">
        <f>Raw_Data!J709</f>
        <v>0</v>
      </c>
      <c r="J709">
        <f t="shared" si="23"/>
        <v>2</v>
      </c>
      <c r="K709" t="str">
        <f t="shared" si="24"/>
        <v>Low Risk</v>
      </c>
    </row>
    <row r="710" spans="1:11" x14ac:dyDescent="0.35">
      <c r="A710">
        <f>Raw_Data!A710</f>
        <v>709</v>
      </c>
      <c r="B710">
        <f>Raw_Data!B710</f>
        <v>36</v>
      </c>
      <c r="C710">
        <f>Raw_Data!D710</f>
        <v>21</v>
      </c>
      <c r="D710">
        <f>Raw_Data!F710</f>
        <v>4</v>
      </c>
      <c r="E710">
        <f>Raw_Data!H710</f>
        <v>1</v>
      </c>
      <c r="F710">
        <f>Raw_Data!G710</f>
        <v>1</v>
      </c>
      <c r="G710">
        <f>Raw_Data!E710</f>
        <v>33582.11</v>
      </c>
      <c r="H710">
        <f>Raw_Data!I710</f>
        <v>30072.79</v>
      </c>
      <c r="I710">
        <f>Raw_Data!J710</f>
        <v>0</v>
      </c>
      <c r="J710">
        <f t="shared" si="23"/>
        <v>2</v>
      </c>
      <c r="K710" t="str">
        <f t="shared" si="24"/>
        <v>Low Risk</v>
      </c>
    </row>
    <row r="711" spans="1:11" x14ac:dyDescent="0.35">
      <c r="A711">
        <f>Raw_Data!A711</f>
        <v>710</v>
      </c>
      <c r="B711">
        <f>Raw_Data!B711</f>
        <v>61</v>
      </c>
      <c r="C711">
        <f>Raw_Data!D711</f>
        <v>52</v>
      </c>
      <c r="D711">
        <f>Raw_Data!F711</f>
        <v>4</v>
      </c>
      <c r="E711">
        <f>Raw_Data!H711</f>
        <v>1</v>
      </c>
      <c r="F711">
        <f>Raw_Data!G711</f>
        <v>0</v>
      </c>
      <c r="G711">
        <f>Raw_Data!E711</f>
        <v>29110.44</v>
      </c>
      <c r="H711">
        <f>Raw_Data!I711</f>
        <v>56700.800000000003</v>
      </c>
      <c r="I711">
        <f>Raw_Data!J711</f>
        <v>0</v>
      </c>
      <c r="J711">
        <f t="shared" si="23"/>
        <v>3</v>
      </c>
      <c r="K711" t="str">
        <f t="shared" si="24"/>
        <v>Medium Risk</v>
      </c>
    </row>
    <row r="712" spans="1:11" x14ac:dyDescent="0.35">
      <c r="A712">
        <f>Raw_Data!A712</f>
        <v>711</v>
      </c>
      <c r="B712">
        <f>Raw_Data!B712</f>
        <v>56</v>
      </c>
      <c r="C712">
        <f>Raw_Data!D712</f>
        <v>55</v>
      </c>
      <c r="D712">
        <f>Raw_Data!F712</f>
        <v>2</v>
      </c>
      <c r="E712">
        <f>Raw_Data!H712</f>
        <v>0</v>
      </c>
      <c r="F712">
        <f>Raw_Data!G712</f>
        <v>0</v>
      </c>
      <c r="G712">
        <f>Raw_Data!E712</f>
        <v>49510.44</v>
      </c>
      <c r="H712">
        <f>Raw_Data!I712</f>
        <v>96088.59</v>
      </c>
      <c r="I712">
        <f>Raw_Data!J712</f>
        <v>0</v>
      </c>
      <c r="J712">
        <f t="shared" si="23"/>
        <v>4</v>
      </c>
      <c r="K712" t="str">
        <f t="shared" si="24"/>
        <v>Medium Risk</v>
      </c>
    </row>
    <row r="713" spans="1:11" x14ac:dyDescent="0.35">
      <c r="A713">
        <f>Raw_Data!A713</f>
        <v>712</v>
      </c>
      <c r="B713">
        <f>Raw_Data!B713</f>
        <v>44</v>
      </c>
      <c r="C713">
        <f>Raw_Data!D713</f>
        <v>26</v>
      </c>
      <c r="D713">
        <f>Raw_Data!F713</f>
        <v>1</v>
      </c>
      <c r="E713">
        <f>Raw_Data!H713</f>
        <v>1</v>
      </c>
      <c r="F713">
        <f>Raw_Data!G713</f>
        <v>1</v>
      </c>
      <c r="G713">
        <f>Raw_Data!E713</f>
        <v>11957.94</v>
      </c>
      <c r="H713">
        <f>Raw_Data!I713</f>
        <v>53333.69</v>
      </c>
      <c r="I713">
        <f>Raw_Data!J713</f>
        <v>0</v>
      </c>
      <c r="J713">
        <f t="shared" si="23"/>
        <v>0</v>
      </c>
      <c r="K713" t="str">
        <f t="shared" si="24"/>
        <v>Low Risk</v>
      </c>
    </row>
    <row r="714" spans="1:11" x14ac:dyDescent="0.35">
      <c r="A714">
        <f>Raw_Data!A714</f>
        <v>713</v>
      </c>
      <c r="B714">
        <f>Raw_Data!B714</f>
        <v>27</v>
      </c>
      <c r="C714">
        <f>Raw_Data!D714</f>
        <v>68</v>
      </c>
      <c r="D714">
        <f>Raw_Data!F714</f>
        <v>4</v>
      </c>
      <c r="E714">
        <f>Raw_Data!H714</f>
        <v>0</v>
      </c>
      <c r="F714">
        <f>Raw_Data!G714</f>
        <v>1</v>
      </c>
      <c r="G714">
        <f>Raw_Data!E714</f>
        <v>26536.87</v>
      </c>
      <c r="H714">
        <f>Raw_Data!I714</f>
        <v>141417.14000000001</v>
      </c>
      <c r="I714">
        <f>Raw_Data!J714</f>
        <v>0</v>
      </c>
      <c r="J714">
        <f t="shared" si="23"/>
        <v>4</v>
      </c>
      <c r="K714" t="str">
        <f t="shared" si="24"/>
        <v>Medium Risk</v>
      </c>
    </row>
    <row r="715" spans="1:11" x14ac:dyDescent="0.35">
      <c r="A715">
        <f>Raw_Data!A715</f>
        <v>714</v>
      </c>
      <c r="B715">
        <f>Raw_Data!B715</f>
        <v>43</v>
      </c>
      <c r="C715">
        <f>Raw_Data!D715</f>
        <v>34</v>
      </c>
      <c r="D715">
        <f>Raw_Data!F715</f>
        <v>4</v>
      </c>
      <c r="E715">
        <f>Raw_Data!H715</f>
        <v>0</v>
      </c>
      <c r="F715">
        <f>Raw_Data!G715</f>
        <v>1</v>
      </c>
      <c r="G715">
        <f>Raw_Data!E715</f>
        <v>32547.87</v>
      </c>
      <c r="H715">
        <f>Raw_Data!I715</f>
        <v>37037.620000000003</v>
      </c>
      <c r="I715">
        <f>Raw_Data!J715</f>
        <v>0</v>
      </c>
      <c r="J715">
        <f t="shared" si="23"/>
        <v>4</v>
      </c>
      <c r="K715" t="str">
        <f t="shared" si="24"/>
        <v>Medium Risk</v>
      </c>
    </row>
    <row r="716" spans="1:11" x14ac:dyDescent="0.35">
      <c r="A716">
        <f>Raw_Data!A716</f>
        <v>715</v>
      </c>
      <c r="B716">
        <f>Raw_Data!B716</f>
        <v>36</v>
      </c>
      <c r="C716">
        <f>Raw_Data!D716</f>
        <v>52</v>
      </c>
      <c r="D716">
        <f>Raw_Data!F716</f>
        <v>1</v>
      </c>
      <c r="E716">
        <f>Raw_Data!H716</f>
        <v>0</v>
      </c>
      <c r="F716">
        <f>Raw_Data!G716</f>
        <v>0</v>
      </c>
      <c r="G716">
        <f>Raw_Data!E716</f>
        <v>32229.56</v>
      </c>
      <c r="H716">
        <f>Raw_Data!I716</f>
        <v>123661.27</v>
      </c>
      <c r="I716">
        <f>Raw_Data!J716</f>
        <v>0</v>
      </c>
      <c r="J716">
        <f t="shared" si="23"/>
        <v>2</v>
      </c>
      <c r="K716" t="str">
        <f t="shared" si="24"/>
        <v>Low Risk</v>
      </c>
    </row>
    <row r="717" spans="1:11" x14ac:dyDescent="0.35">
      <c r="A717">
        <f>Raw_Data!A717</f>
        <v>716</v>
      </c>
      <c r="B717">
        <f>Raw_Data!B717</f>
        <v>56</v>
      </c>
      <c r="C717">
        <f>Raw_Data!D717</f>
        <v>52</v>
      </c>
      <c r="D717">
        <f>Raw_Data!F717</f>
        <v>4</v>
      </c>
      <c r="E717">
        <f>Raw_Data!H717</f>
        <v>0</v>
      </c>
      <c r="F717">
        <f>Raw_Data!G717</f>
        <v>0</v>
      </c>
      <c r="G717">
        <f>Raw_Data!E717</f>
        <v>28064.68</v>
      </c>
      <c r="H717">
        <f>Raw_Data!I717</f>
        <v>86033.33</v>
      </c>
      <c r="I717">
        <f>Raw_Data!J717</f>
        <v>0</v>
      </c>
      <c r="J717">
        <f t="shared" si="23"/>
        <v>5</v>
      </c>
      <c r="K717" t="str">
        <f t="shared" si="24"/>
        <v>High Risk</v>
      </c>
    </row>
    <row r="718" spans="1:11" x14ac:dyDescent="0.35">
      <c r="A718">
        <f>Raw_Data!A718</f>
        <v>717</v>
      </c>
      <c r="B718">
        <f>Raw_Data!B718</f>
        <v>20</v>
      </c>
      <c r="C718">
        <f>Raw_Data!D718</f>
        <v>29</v>
      </c>
      <c r="D718">
        <f>Raw_Data!F718</f>
        <v>4</v>
      </c>
      <c r="E718">
        <f>Raw_Data!H718</f>
        <v>1</v>
      </c>
      <c r="F718">
        <f>Raw_Data!G718</f>
        <v>0</v>
      </c>
      <c r="G718">
        <f>Raw_Data!E718</f>
        <v>38846.400000000001</v>
      </c>
      <c r="H718">
        <f>Raw_Data!I718</f>
        <v>117543</v>
      </c>
      <c r="I718">
        <f>Raw_Data!J718</f>
        <v>0</v>
      </c>
      <c r="J718">
        <f t="shared" si="23"/>
        <v>2</v>
      </c>
      <c r="K718" t="str">
        <f t="shared" si="24"/>
        <v>Low Risk</v>
      </c>
    </row>
    <row r="719" spans="1:11" x14ac:dyDescent="0.35">
      <c r="A719">
        <f>Raw_Data!A719</f>
        <v>718</v>
      </c>
      <c r="B719">
        <f>Raw_Data!B719</f>
        <v>62</v>
      </c>
      <c r="C719">
        <f>Raw_Data!D719</f>
        <v>38</v>
      </c>
      <c r="D719">
        <f>Raw_Data!F719</f>
        <v>1</v>
      </c>
      <c r="E719">
        <f>Raw_Data!H719</f>
        <v>0</v>
      </c>
      <c r="F719">
        <f>Raw_Data!G719</f>
        <v>0</v>
      </c>
      <c r="G719">
        <f>Raw_Data!E719</f>
        <v>10249.06</v>
      </c>
      <c r="H719">
        <f>Raw_Data!I719</f>
        <v>60392.99</v>
      </c>
      <c r="I719">
        <f>Raw_Data!J719</f>
        <v>0</v>
      </c>
      <c r="J719">
        <f t="shared" si="23"/>
        <v>3</v>
      </c>
      <c r="K719" t="str">
        <f t="shared" si="24"/>
        <v>Medium Risk</v>
      </c>
    </row>
    <row r="720" spans="1:11" x14ac:dyDescent="0.35">
      <c r="A720">
        <f>Raw_Data!A720</f>
        <v>719</v>
      </c>
      <c r="B720">
        <f>Raw_Data!B720</f>
        <v>30</v>
      </c>
      <c r="C720">
        <f>Raw_Data!D720</f>
        <v>42</v>
      </c>
      <c r="D720">
        <f>Raw_Data!F720</f>
        <v>1</v>
      </c>
      <c r="E720">
        <f>Raw_Data!H720</f>
        <v>1</v>
      </c>
      <c r="F720">
        <f>Raw_Data!G720</f>
        <v>0</v>
      </c>
      <c r="G720">
        <f>Raw_Data!E720</f>
        <v>36281.360000000001</v>
      </c>
      <c r="H720">
        <f>Raw_Data!I720</f>
        <v>86883.65</v>
      </c>
      <c r="I720">
        <f>Raw_Data!J720</f>
        <v>0</v>
      </c>
      <c r="J720">
        <f t="shared" si="23"/>
        <v>0</v>
      </c>
      <c r="K720" t="str">
        <f t="shared" si="24"/>
        <v>Low Risk</v>
      </c>
    </row>
    <row r="721" spans="1:11" x14ac:dyDescent="0.35">
      <c r="A721">
        <f>Raw_Data!A721</f>
        <v>720</v>
      </c>
      <c r="B721">
        <f>Raw_Data!B721</f>
        <v>67</v>
      </c>
      <c r="C721">
        <f>Raw_Data!D721</f>
        <v>21</v>
      </c>
      <c r="D721">
        <f>Raw_Data!F721</f>
        <v>3</v>
      </c>
      <c r="E721">
        <f>Raw_Data!H721</f>
        <v>0</v>
      </c>
      <c r="F721">
        <f>Raw_Data!G721</f>
        <v>0</v>
      </c>
      <c r="G721">
        <f>Raw_Data!E721</f>
        <v>30986.73</v>
      </c>
      <c r="H721">
        <f>Raw_Data!I721</f>
        <v>131388.6</v>
      </c>
      <c r="I721">
        <f>Raw_Data!J721</f>
        <v>0</v>
      </c>
      <c r="J721">
        <f t="shared" si="23"/>
        <v>3</v>
      </c>
      <c r="K721" t="str">
        <f t="shared" si="24"/>
        <v>Medium Risk</v>
      </c>
    </row>
    <row r="722" spans="1:11" x14ac:dyDescent="0.35">
      <c r="A722">
        <f>Raw_Data!A722</f>
        <v>721</v>
      </c>
      <c r="B722">
        <f>Raw_Data!B722</f>
        <v>45</v>
      </c>
      <c r="C722">
        <f>Raw_Data!D722</f>
        <v>42</v>
      </c>
      <c r="D722">
        <f>Raw_Data!F722</f>
        <v>2</v>
      </c>
      <c r="E722">
        <f>Raw_Data!H722</f>
        <v>0</v>
      </c>
      <c r="F722">
        <f>Raw_Data!G722</f>
        <v>1</v>
      </c>
      <c r="G722">
        <f>Raw_Data!E722</f>
        <v>44803.76</v>
      </c>
      <c r="H722">
        <f>Raw_Data!I722</f>
        <v>80694.149999999994</v>
      </c>
      <c r="I722">
        <f>Raw_Data!J722</f>
        <v>0</v>
      </c>
      <c r="J722">
        <f t="shared" si="23"/>
        <v>3</v>
      </c>
      <c r="K722" t="str">
        <f t="shared" si="24"/>
        <v>Medium Risk</v>
      </c>
    </row>
    <row r="723" spans="1:11" x14ac:dyDescent="0.35">
      <c r="A723">
        <f>Raw_Data!A723</f>
        <v>722</v>
      </c>
      <c r="B723">
        <f>Raw_Data!B723</f>
        <v>37</v>
      </c>
      <c r="C723">
        <f>Raw_Data!D723</f>
        <v>13</v>
      </c>
      <c r="D723">
        <f>Raw_Data!F723</f>
        <v>2</v>
      </c>
      <c r="E723">
        <f>Raw_Data!H723</f>
        <v>1</v>
      </c>
      <c r="F723">
        <f>Raw_Data!G723</f>
        <v>1</v>
      </c>
      <c r="G723">
        <f>Raw_Data!E723</f>
        <v>42359.72</v>
      </c>
      <c r="H723">
        <f>Raw_Data!I723</f>
        <v>66763.58</v>
      </c>
      <c r="I723">
        <f>Raw_Data!J723</f>
        <v>0</v>
      </c>
      <c r="J723">
        <f t="shared" si="23"/>
        <v>1</v>
      </c>
      <c r="K723" t="str">
        <f t="shared" si="24"/>
        <v>Low Risk</v>
      </c>
    </row>
    <row r="724" spans="1:11" x14ac:dyDescent="0.35">
      <c r="A724">
        <f>Raw_Data!A724</f>
        <v>723</v>
      </c>
      <c r="B724">
        <f>Raw_Data!B724</f>
        <v>45</v>
      </c>
      <c r="C724">
        <f>Raw_Data!D724</f>
        <v>64</v>
      </c>
      <c r="D724">
        <f>Raw_Data!F724</f>
        <v>1</v>
      </c>
      <c r="E724">
        <f>Raw_Data!H724</f>
        <v>0</v>
      </c>
      <c r="F724">
        <f>Raw_Data!G724</f>
        <v>0</v>
      </c>
      <c r="G724">
        <f>Raw_Data!E724</f>
        <v>15757.35</v>
      </c>
      <c r="H724">
        <f>Raw_Data!I724</f>
        <v>89700.2</v>
      </c>
      <c r="I724">
        <f>Raw_Data!J724</f>
        <v>0</v>
      </c>
      <c r="J724">
        <f t="shared" si="23"/>
        <v>2</v>
      </c>
      <c r="K724" t="str">
        <f t="shared" si="24"/>
        <v>Low Risk</v>
      </c>
    </row>
    <row r="725" spans="1:11" x14ac:dyDescent="0.35">
      <c r="A725">
        <f>Raw_Data!A725</f>
        <v>724</v>
      </c>
      <c r="B725">
        <f>Raw_Data!B725</f>
        <v>25</v>
      </c>
      <c r="C725">
        <f>Raw_Data!D725</f>
        <v>17</v>
      </c>
      <c r="D725">
        <f>Raw_Data!F725</f>
        <v>1</v>
      </c>
      <c r="E725">
        <f>Raw_Data!H725</f>
        <v>1</v>
      </c>
      <c r="F725">
        <f>Raw_Data!G725</f>
        <v>1</v>
      </c>
      <c r="G725">
        <f>Raw_Data!E725</f>
        <v>13811.87</v>
      </c>
      <c r="H725">
        <f>Raw_Data!I725</f>
        <v>113257.16</v>
      </c>
      <c r="I725">
        <f>Raw_Data!J725</f>
        <v>0</v>
      </c>
      <c r="J725">
        <f t="shared" si="23"/>
        <v>0</v>
      </c>
      <c r="K725" t="str">
        <f t="shared" si="24"/>
        <v>Low Risk</v>
      </c>
    </row>
    <row r="726" spans="1:11" x14ac:dyDescent="0.35">
      <c r="A726">
        <f>Raw_Data!A726</f>
        <v>725</v>
      </c>
      <c r="B726">
        <f>Raw_Data!B726</f>
        <v>58</v>
      </c>
      <c r="C726">
        <f>Raw_Data!D726</f>
        <v>9</v>
      </c>
      <c r="D726">
        <f>Raw_Data!F726</f>
        <v>4</v>
      </c>
      <c r="E726">
        <f>Raw_Data!H726</f>
        <v>1</v>
      </c>
      <c r="F726">
        <f>Raw_Data!G726</f>
        <v>1</v>
      </c>
      <c r="G726">
        <f>Raw_Data!E726</f>
        <v>49082.67</v>
      </c>
      <c r="H726">
        <f>Raw_Data!I726</f>
        <v>77663.23</v>
      </c>
      <c r="I726">
        <f>Raw_Data!J726</f>
        <v>0</v>
      </c>
      <c r="J726">
        <f t="shared" si="23"/>
        <v>6</v>
      </c>
      <c r="K726" t="str">
        <f t="shared" si="24"/>
        <v>High Risk</v>
      </c>
    </row>
    <row r="727" spans="1:11" x14ac:dyDescent="0.35">
      <c r="A727">
        <f>Raw_Data!A727</f>
        <v>726</v>
      </c>
      <c r="B727">
        <f>Raw_Data!B727</f>
        <v>56</v>
      </c>
      <c r="C727">
        <f>Raw_Data!D727</f>
        <v>41</v>
      </c>
      <c r="D727">
        <f>Raw_Data!F727</f>
        <v>3</v>
      </c>
      <c r="E727">
        <f>Raw_Data!H727</f>
        <v>0</v>
      </c>
      <c r="F727">
        <f>Raw_Data!G727</f>
        <v>0</v>
      </c>
      <c r="G727">
        <f>Raw_Data!E727</f>
        <v>26363.26</v>
      </c>
      <c r="H727">
        <f>Raw_Data!I727</f>
        <v>142054.01</v>
      </c>
      <c r="I727">
        <f>Raw_Data!J727</f>
        <v>0</v>
      </c>
      <c r="J727">
        <f t="shared" si="23"/>
        <v>3</v>
      </c>
      <c r="K727" t="str">
        <f t="shared" si="24"/>
        <v>Medium Risk</v>
      </c>
    </row>
    <row r="728" spans="1:11" x14ac:dyDescent="0.35">
      <c r="A728">
        <f>Raw_Data!A728</f>
        <v>727</v>
      </c>
      <c r="B728">
        <f>Raw_Data!B728</f>
        <v>18</v>
      </c>
      <c r="C728">
        <f>Raw_Data!D728</f>
        <v>1</v>
      </c>
      <c r="D728">
        <f>Raw_Data!F728</f>
        <v>3</v>
      </c>
      <c r="E728">
        <f>Raw_Data!H728</f>
        <v>0</v>
      </c>
      <c r="F728">
        <f>Raw_Data!G728</f>
        <v>0</v>
      </c>
      <c r="G728">
        <f>Raw_Data!E728</f>
        <v>45321.05</v>
      </c>
      <c r="H728">
        <f>Raw_Data!I728</f>
        <v>58342.96</v>
      </c>
      <c r="I728">
        <f>Raw_Data!J728</f>
        <v>0</v>
      </c>
      <c r="J728">
        <f t="shared" si="23"/>
        <v>5</v>
      </c>
      <c r="K728" t="str">
        <f t="shared" si="24"/>
        <v>High Risk</v>
      </c>
    </row>
    <row r="729" spans="1:11" x14ac:dyDescent="0.35">
      <c r="A729">
        <f>Raw_Data!A729</f>
        <v>728</v>
      </c>
      <c r="B729">
        <f>Raw_Data!B729</f>
        <v>20</v>
      </c>
      <c r="C729">
        <f>Raw_Data!D729</f>
        <v>2</v>
      </c>
      <c r="D729">
        <f>Raw_Data!F729</f>
        <v>1</v>
      </c>
      <c r="E729">
        <f>Raw_Data!H729</f>
        <v>0</v>
      </c>
      <c r="F729">
        <f>Raw_Data!G729</f>
        <v>1</v>
      </c>
      <c r="G729">
        <f>Raw_Data!E729</f>
        <v>8194.0499999999993</v>
      </c>
      <c r="H729">
        <f>Raw_Data!I729</f>
        <v>81810.27</v>
      </c>
      <c r="I729">
        <f>Raw_Data!J729</f>
        <v>1</v>
      </c>
      <c r="J729">
        <f t="shared" si="23"/>
        <v>4</v>
      </c>
      <c r="K729" t="str">
        <f t="shared" si="24"/>
        <v>Medium Risk</v>
      </c>
    </row>
    <row r="730" spans="1:11" x14ac:dyDescent="0.35">
      <c r="A730">
        <f>Raw_Data!A730</f>
        <v>729</v>
      </c>
      <c r="B730">
        <f>Raw_Data!B730</f>
        <v>30</v>
      </c>
      <c r="C730">
        <f>Raw_Data!D730</f>
        <v>60</v>
      </c>
      <c r="D730">
        <f>Raw_Data!F730</f>
        <v>4</v>
      </c>
      <c r="E730">
        <f>Raw_Data!H730</f>
        <v>0</v>
      </c>
      <c r="F730">
        <f>Raw_Data!G730</f>
        <v>0</v>
      </c>
      <c r="G730">
        <f>Raw_Data!E730</f>
        <v>32140.95</v>
      </c>
      <c r="H730">
        <f>Raw_Data!I730</f>
        <v>118400.6</v>
      </c>
      <c r="I730">
        <f>Raw_Data!J730</f>
        <v>0</v>
      </c>
      <c r="J730">
        <f t="shared" si="23"/>
        <v>4</v>
      </c>
      <c r="K730" t="str">
        <f t="shared" si="24"/>
        <v>Medium Risk</v>
      </c>
    </row>
    <row r="731" spans="1:11" x14ac:dyDescent="0.35">
      <c r="A731">
        <f>Raw_Data!A731</f>
        <v>730</v>
      </c>
      <c r="B731">
        <f>Raw_Data!B731</f>
        <v>45</v>
      </c>
      <c r="C731">
        <f>Raw_Data!D731</f>
        <v>48</v>
      </c>
      <c r="D731">
        <f>Raw_Data!F731</f>
        <v>4</v>
      </c>
      <c r="E731">
        <f>Raw_Data!H731</f>
        <v>0</v>
      </c>
      <c r="F731">
        <f>Raw_Data!G731</f>
        <v>0</v>
      </c>
      <c r="G731">
        <f>Raw_Data!E731</f>
        <v>40493.01</v>
      </c>
      <c r="H731">
        <f>Raw_Data!I731</f>
        <v>109585.74</v>
      </c>
      <c r="I731">
        <f>Raw_Data!J731</f>
        <v>0</v>
      </c>
      <c r="J731">
        <f t="shared" si="23"/>
        <v>5</v>
      </c>
      <c r="K731" t="str">
        <f t="shared" si="24"/>
        <v>High Risk</v>
      </c>
    </row>
    <row r="732" spans="1:11" x14ac:dyDescent="0.35">
      <c r="A732">
        <f>Raw_Data!A732</f>
        <v>731</v>
      </c>
      <c r="B732">
        <f>Raw_Data!B732</f>
        <v>66</v>
      </c>
      <c r="C732">
        <f>Raw_Data!D732</f>
        <v>29</v>
      </c>
      <c r="D732">
        <f>Raw_Data!F732</f>
        <v>2</v>
      </c>
      <c r="E732">
        <f>Raw_Data!H732</f>
        <v>0</v>
      </c>
      <c r="F732">
        <f>Raw_Data!G732</f>
        <v>1</v>
      </c>
      <c r="G732">
        <f>Raw_Data!E732</f>
        <v>47369.760000000002</v>
      </c>
      <c r="H732">
        <f>Raw_Data!I732</f>
        <v>132273.34</v>
      </c>
      <c r="I732">
        <f>Raw_Data!J732</f>
        <v>0</v>
      </c>
      <c r="J732">
        <f t="shared" si="23"/>
        <v>4</v>
      </c>
      <c r="K732" t="str">
        <f t="shared" si="24"/>
        <v>Medium Risk</v>
      </c>
    </row>
    <row r="733" spans="1:11" x14ac:dyDescent="0.35">
      <c r="A733">
        <f>Raw_Data!A733</f>
        <v>732</v>
      </c>
      <c r="B733">
        <f>Raw_Data!B733</f>
        <v>42</v>
      </c>
      <c r="C733">
        <f>Raw_Data!D733</f>
        <v>10</v>
      </c>
      <c r="D733">
        <f>Raw_Data!F733</f>
        <v>2</v>
      </c>
      <c r="E733">
        <f>Raw_Data!H733</f>
        <v>1</v>
      </c>
      <c r="F733">
        <f>Raw_Data!G733</f>
        <v>0</v>
      </c>
      <c r="G733">
        <f>Raw_Data!E733</f>
        <v>16867.009999999998</v>
      </c>
      <c r="H733">
        <f>Raw_Data!I733</f>
        <v>149585.19</v>
      </c>
      <c r="I733">
        <f>Raw_Data!J733</f>
        <v>0</v>
      </c>
      <c r="J733">
        <f t="shared" si="23"/>
        <v>2</v>
      </c>
      <c r="K733" t="str">
        <f t="shared" si="24"/>
        <v>Low Risk</v>
      </c>
    </row>
    <row r="734" spans="1:11" x14ac:dyDescent="0.35">
      <c r="A734">
        <f>Raw_Data!A734</f>
        <v>733</v>
      </c>
      <c r="B734">
        <f>Raw_Data!B734</f>
        <v>50</v>
      </c>
      <c r="C734">
        <f>Raw_Data!D734</f>
        <v>58</v>
      </c>
      <c r="D734">
        <f>Raw_Data!F734</f>
        <v>4</v>
      </c>
      <c r="E734">
        <f>Raw_Data!H734</f>
        <v>1</v>
      </c>
      <c r="F734">
        <f>Raw_Data!G734</f>
        <v>1</v>
      </c>
      <c r="G734">
        <f>Raw_Data!E734</f>
        <v>36249.06</v>
      </c>
      <c r="H734">
        <f>Raw_Data!I734</f>
        <v>75491.58</v>
      </c>
      <c r="I734">
        <f>Raw_Data!J734</f>
        <v>0</v>
      </c>
      <c r="J734">
        <f t="shared" si="23"/>
        <v>2</v>
      </c>
      <c r="K734" t="str">
        <f t="shared" si="24"/>
        <v>Low Risk</v>
      </c>
    </row>
    <row r="735" spans="1:11" x14ac:dyDescent="0.35">
      <c r="A735">
        <f>Raw_Data!A735</f>
        <v>734</v>
      </c>
      <c r="B735">
        <f>Raw_Data!B735</f>
        <v>55</v>
      </c>
      <c r="C735">
        <f>Raw_Data!D735</f>
        <v>60</v>
      </c>
      <c r="D735">
        <f>Raw_Data!F735</f>
        <v>2</v>
      </c>
      <c r="E735">
        <f>Raw_Data!H735</f>
        <v>0</v>
      </c>
      <c r="F735">
        <f>Raw_Data!G735</f>
        <v>1</v>
      </c>
      <c r="G735">
        <f>Raw_Data!E735</f>
        <v>26940.65</v>
      </c>
      <c r="H735">
        <f>Raw_Data!I735</f>
        <v>34449.61</v>
      </c>
      <c r="I735">
        <f>Raw_Data!J735</f>
        <v>0</v>
      </c>
      <c r="J735">
        <f t="shared" si="23"/>
        <v>2</v>
      </c>
      <c r="K735" t="str">
        <f t="shared" si="24"/>
        <v>Low Risk</v>
      </c>
    </row>
    <row r="736" spans="1:11" x14ac:dyDescent="0.35">
      <c r="A736">
        <f>Raw_Data!A736</f>
        <v>735</v>
      </c>
      <c r="B736">
        <f>Raw_Data!B736</f>
        <v>23</v>
      </c>
      <c r="C736">
        <f>Raw_Data!D736</f>
        <v>21</v>
      </c>
      <c r="D736">
        <f>Raw_Data!F736</f>
        <v>1</v>
      </c>
      <c r="E736">
        <f>Raw_Data!H736</f>
        <v>1</v>
      </c>
      <c r="F736">
        <f>Raw_Data!G736</f>
        <v>1</v>
      </c>
      <c r="G736">
        <f>Raw_Data!E736</f>
        <v>3031.45</v>
      </c>
      <c r="H736">
        <f>Raw_Data!I736</f>
        <v>23954.06</v>
      </c>
      <c r="I736">
        <f>Raw_Data!J736</f>
        <v>0</v>
      </c>
      <c r="J736">
        <f t="shared" si="23"/>
        <v>0</v>
      </c>
      <c r="K736" t="str">
        <f t="shared" si="24"/>
        <v>Low Risk</v>
      </c>
    </row>
    <row r="737" spans="1:11" x14ac:dyDescent="0.35">
      <c r="A737">
        <f>Raw_Data!A737</f>
        <v>736</v>
      </c>
      <c r="B737">
        <f>Raw_Data!B737</f>
        <v>61</v>
      </c>
      <c r="C737">
        <f>Raw_Data!D737</f>
        <v>28</v>
      </c>
      <c r="D737">
        <f>Raw_Data!F737</f>
        <v>4</v>
      </c>
      <c r="E737">
        <f>Raw_Data!H737</f>
        <v>1</v>
      </c>
      <c r="F737">
        <f>Raw_Data!G737</f>
        <v>1</v>
      </c>
      <c r="G737">
        <f>Raw_Data!E737</f>
        <v>34499.99</v>
      </c>
      <c r="H737">
        <f>Raw_Data!I737</f>
        <v>114494</v>
      </c>
      <c r="I737">
        <f>Raw_Data!J737</f>
        <v>0</v>
      </c>
      <c r="J737">
        <f t="shared" si="23"/>
        <v>3</v>
      </c>
      <c r="K737" t="str">
        <f t="shared" si="24"/>
        <v>Medium Risk</v>
      </c>
    </row>
    <row r="738" spans="1:11" x14ac:dyDescent="0.35">
      <c r="A738">
        <f>Raw_Data!A738</f>
        <v>737</v>
      </c>
      <c r="B738">
        <f>Raw_Data!B738</f>
        <v>62</v>
      </c>
      <c r="C738">
        <f>Raw_Data!D738</f>
        <v>34</v>
      </c>
      <c r="D738">
        <f>Raw_Data!F738</f>
        <v>2</v>
      </c>
      <c r="E738">
        <f>Raw_Data!H738</f>
        <v>0</v>
      </c>
      <c r="F738">
        <f>Raw_Data!G738</f>
        <v>1</v>
      </c>
      <c r="G738">
        <f>Raw_Data!E738</f>
        <v>34504.83</v>
      </c>
      <c r="H738">
        <f>Raw_Data!I738</f>
        <v>133621.78</v>
      </c>
      <c r="I738">
        <f>Raw_Data!J738</f>
        <v>0</v>
      </c>
      <c r="J738">
        <f t="shared" si="23"/>
        <v>3</v>
      </c>
      <c r="K738" t="str">
        <f t="shared" si="24"/>
        <v>Medium Risk</v>
      </c>
    </row>
    <row r="739" spans="1:11" x14ac:dyDescent="0.35">
      <c r="A739">
        <f>Raw_Data!A739</f>
        <v>738</v>
      </c>
      <c r="B739">
        <f>Raw_Data!B739</f>
        <v>49</v>
      </c>
      <c r="C739">
        <f>Raw_Data!D739</f>
        <v>8</v>
      </c>
      <c r="D739">
        <f>Raw_Data!F739</f>
        <v>3</v>
      </c>
      <c r="E739">
        <f>Raw_Data!H739</f>
        <v>0</v>
      </c>
      <c r="F739">
        <f>Raw_Data!G739</f>
        <v>0</v>
      </c>
      <c r="G739">
        <f>Raw_Data!E739</f>
        <v>46530.34</v>
      </c>
      <c r="H739">
        <f>Raw_Data!I739</f>
        <v>48692.639999999999</v>
      </c>
      <c r="I739">
        <f>Raw_Data!J739</f>
        <v>0</v>
      </c>
      <c r="J739">
        <f t="shared" si="23"/>
        <v>5</v>
      </c>
      <c r="K739" t="str">
        <f t="shared" si="24"/>
        <v>High Risk</v>
      </c>
    </row>
    <row r="740" spans="1:11" x14ac:dyDescent="0.35">
      <c r="A740">
        <f>Raw_Data!A740</f>
        <v>739</v>
      </c>
      <c r="B740">
        <f>Raw_Data!B740</f>
        <v>62</v>
      </c>
      <c r="C740">
        <f>Raw_Data!D740</f>
        <v>59</v>
      </c>
      <c r="D740">
        <f>Raw_Data!F740</f>
        <v>4</v>
      </c>
      <c r="E740">
        <f>Raw_Data!H740</f>
        <v>1</v>
      </c>
      <c r="F740">
        <f>Raw_Data!G740</f>
        <v>0</v>
      </c>
      <c r="G740">
        <f>Raw_Data!E740</f>
        <v>24865.62</v>
      </c>
      <c r="H740">
        <f>Raw_Data!I740</f>
        <v>40598.239999999998</v>
      </c>
      <c r="I740">
        <f>Raw_Data!J740</f>
        <v>0</v>
      </c>
      <c r="J740">
        <f t="shared" si="23"/>
        <v>3</v>
      </c>
      <c r="K740" t="str">
        <f t="shared" si="24"/>
        <v>Medium Risk</v>
      </c>
    </row>
    <row r="741" spans="1:11" x14ac:dyDescent="0.35">
      <c r="A741">
        <f>Raw_Data!A741</f>
        <v>740</v>
      </c>
      <c r="B741">
        <f>Raw_Data!B741</f>
        <v>64</v>
      </c>
      <c r="C741">
        <f>Raw_Data!D741</f>
        <v>49</v>
      </c>
      <c r="D741">
        <f>Raw_Data!F741</f>
        <v>4</v>
      </c>
      <c r="E741">
        <f>Raw_Data!H741</f>
        <v>0</v>
      </c>
      <c r="F741">
        <f>Raw_Data!G741</f>
        <v>0</v>
      </c>
      <c r="G741">
        <f>Raw_Data!E741</f>
        <v>11512.55</v>
      </c>
      <c r="H741">
        <f>Raw_Data!I741</f>
        <v>28086.66</v>
      </c>
      <c r="I741">
        <f>Raw_Data!J741</f>
        <v>0</v>
      </c>
      <c r="J741">
        <f t="shared" si="23"/>
        <v>5</v>
      </c>
      <c r="K741" t="str">
        <f t="shared" si="24"/>
        <v>High Risk</v>
      </c>
    </row>
    <row r="742" spans="1:11" x14ac:dyDescent="0.35">
      <c r="A742">
        <f>Raw_Data!A742</f>
        <v>741</v>
      </c>
      <c r="B742">
        <f>Raw_Data!B742</f>
        <v>38</v>
      </c>
      <c r="C742">
        <f>Raw_Data!D742</f>
        <v>17</v>
      </c>
      <c r="D742">
        <f>Raw_Data!F742</f>
        <v>3</v>
      </c>
      <c r="E742">
        <f>Raw_Data!H742</f>
        <v>1</v>
      </c>
      <c r="F742">
        <f>Raw_Data!G742</f>
        <v>0</v>
      </c>
      <c r="G742">
        <f>Raw_Data!E742</f>
        <v>2228.19</v>
      </c>
      <c r="H742">
        <f>Raw_Data!I742</f>
        <v>126951.38</v>
      </c>
      <c r="I742">
        <f>Raw_Data!J742</f>
        <v>0</v>
      </c>
      <c r="J742">
        <f t="shared" si="23"/>
        <v>0</v>
      </c>
      <c r="K742" t="str">
        <f t="shared" si="24"/>
        <v>Low Risk</v>
      </c>
    </row>
    <row r="743" spans="1:11" x14ac:dyDescent="0.35">
      <c r="A743">
        <f>Raw_Data!A743</f>
        <v>742</v>
      </c>
      <c r="B743">
        <f>Raw_Data!B743</f>
        <v>33</v>
      </c>
      <c r="C743">
        <f>Raw_Data!D743</f>
        <v>60</v>
      </c>
      <c r="D743">
        <f>Raw_Data!F743</f>
        <v>1</v>
      </c>
      <c r="E743">
        <f>Raw_Data!H743</f>
        <v>0</v>
      </c>
      <c r="F743">
        <f>Raw_Data!G743</f>
        <v>1</v>
      </c>
      <c r="G743">
        <f>Raw_Data!E743</f>
        <v>20782.11</v>
      </c>
      <c r="H743">
        <f>Raw_Data!I743</f>
        <v>60479.65</v>
      </c>
      <c r="I743">
        <f>Raw_Data!J743</f>
        <v>0</v>
      </c>
      <c r="J743">
        <f t="shared" si="23"/>
        <v>2</v>
      </c>
      <c r="K743" t="str">
        <f t="shared" si="24"/>
        <v>Low Risk</v>
      </c>
    </row>
    <row r="744" spans="1:11" x14ac:dyDescent="0.35">
      <c r="A744">
        <f>Raw_Data!A744</f>
        <v>743</v>
      </c>
      <c r="B744">
        <f>Raw_Data!B744</f>
        <v>38</v>
      </c>
      <c r="C744">
        <f>Raw_Data!D744</f>
        <v>45</v>
      </c>
      <c r="D744">
        <f>Raw_Data!F744</f>
        <v>3</v>
      </c>
      <c r="E744">
        <f>Raw_Data!H744</f>
        <v>1</v>
      </c>
      <c r="F744">
        <f>Raw_Data!G744</f>
        <v>1</v>
      </c>
      <c r="G744">
        <f>Raw_Data!E744</f>
        <v>15095.84</v>
      </c>
      <c r="H744">
        <f>Raw_Data!I744</f>
        <v>72220.600000000006</v>
      </c>
      <c r="I744">
        <f>Raw_Data!J744</f>
        <v>0</v>
      </c>
      <c r="J744">
        <f t="shared" si="23"/>
        <v>0</v>
      </c>
      <c r="K744" t="str">
        <f t="shared" si="24"/>
        <v>Low Risk</v>
      </c>
    </row>
    <row r="745" spans="1:11" x14ac:dyDescent="0.35">
      <c r="A745">
        <f>Raw_Data!A745</f>
        <v>744</v>
      </c>
      <c r="B745">
        <f>Raw_Data!B745</f>
        <v>28</v>
      </c>
      <c r="C745">
        <f>Raw_Data!D745</f>
        <v>69</v>
      </c>
      <c r="D745">
        <f>Raw_Data!F745</f>
        <v>4</v>
      </c>
      <c r="E745">
        <f>Raw_Data!H745</f>
        <v>1</v>
      </c>
      <c r="F745">
        <f>Raw_Data!G745</f>
        <v>0</v>
      </c>
      <c r="G745">
        <f>Raw_Data!E745</f>
        <v>38054.42</v>
      </c>
      <c r="H745">
        <f>Raw_Data!I745</f>
        <v>85357.52</v>
      </c>
      <c r="I745">
        <f>Raw_Data!J745</f>
        <v>0</v>
      </c>
      <c r="J745">
        <f t="shared" si="23"/>
        <v>2</v>
      </c>
      <c r="K745" t="str">
        <f t="shared" si="24"/>
        <v>Low Risk</v>
      </c>
    </row>
    <row r="746" spans="1:11" x14ac:dyDescent="0.35">
      <c r="A746">
        <f>Raw_Data!A746</f>
        <v>745</v>
      </c>
      <c r="B746">
        <f>Raw_Data!B746</f>
        <v>54</v>
      </c>
      <c r="C746">
        <f>Raw_Data!D746</f>
        <v>32</v>
      </c>
      <c r="D746">
        <f>Raw_Data!F746</f>
        <v>1</v>
      </c>
      <c r="E746">
        <f>Raw_Data!H746</f>
        <v>1</v>
      </c>
      <c r="F746">
        <f>Raw_Data!G746</f>
        <v>1</v>
      </c>
      <c r="G746">
        <f>Raw_Data!E746</f>
        <v>17713.39</v>
      </c>
      <c r="H746">
        <f>Raw_Data!I746</f>
        <v>129128.92</v>
      </c>
      <c r="I746">
        <f>Raw_Data!J746</f>
        <v>0</v>
      </c>
      <c r="J746">
        <f t="shared" si="23"/>
        <v>0</v>
      </c>
      <c r="K746" t="str">
        <f t="shared" si="24"/>
        <v>Low Risk</v>
      </c>
    </row>
    <row r="747" spans="1:11" x14ac:dyDescent="0.35">
      <c r="A747">
        <f>Raw_Data!A747</f>
        <v>746</v>
      </c>
      <c r="B747">
        <f>Raw_Data!B747</f>
        <v>53</v>
      </c>
      <c r="C747">
        <f>Raw_Data!D747</f>
        <v>44</v>
      </c>
      <c r="D747">
        <f>Raw_Data!F747</f>
        <v>2</v>
      </c>
      <c r="E747">
        <f>Raw_Data!H747</f>
        <v>1</v>
      </c>
      <c r="F747">
        <f>Raw_Data!G747</f>
        <v>0</v>
      </c>
      <c r="G747">
        <f>Raw_Data!E747</f>
        <v>47453.56</v>
      </c>
      <c r="H747">
        <f>Raw_Data!I747</f>
        <v>104608.32000000001</v>
      </c>
      <c r="I747">
        <f>Raw_Data!J747</f>
        <v>0</v>
      </c>
      <c r="J747">
        <f t="shared" si="23"/>
        <v>1</v>
      </c>
      <c r="K747" t="str">
        <f t="shared" si="24"/>
        <v>Low Risk</v>
      </c>
    </row>
    <row r="748" spans="1:11" x14ac:dyDescent="0.35">
      <c r="A748">
        <f>Raw_Data!A748</f>
        <v>747</v>
      </c>
      <c r="B748">
        <f>Raw_Data!B748</f>
        <v>52</v>
      </c>
      <c r="C748">
        <f>Raw_Data!D748</f>
        <v>65</v>
      </c>
      <c r="D748">
        <f>Raw_Data!F748</f>
        <v>2</v>
      </c>
      <c r="E748">
        <f>Raw_Data!H748</f>
        <v>0</v>
      </c>
      <c r="F748">
        <f>Raw_Data!G748</f>
        <v>0</v>
      </c>
      <c r="G748">
        <f>Raw_Data!E748</f>
        <v>48115.51</v>
      </c>
      <c r="H748">
        <f>Raw_Data!I748</f>
        <v>99958.399999999994</v>
      </c>
      <c r="I748">
        <f>Raw_Data!J748</f>
        <v>0</v>
      </c>
      <c r="J748">
        <f t="shared" si="23"/>
        <v>3</v>
      </c>
      <c r="K748" t="str">
        <f t="shared" si="24"/>
        <v>Medium Risk</v>
      </c>
    </row>
    <row r="749" spans="1:11" x14ac:dyDescent="0.35">
      <c r="A749">
        <f>Raw_Data!A749</f>
        <v>748</v>
      </c>
      <c r="B749">
        <f>Raw_Data!B749</f>
        <v>36</v>
      </c>
      <c r="C749">
        <f>Raw_Data!D749</f>
        <v>8</v>
      </c>
      <c r="D749">
        <f>Raw_Data!F749</f>
        <v>2</v>
      </c>
      <c r="E749">
        <f>Raw_Data!H749</f>
        <v>0</v>
      </c>
      <c r="F749">
        <f>Raw_Data!G749</f>
        <v>0</v>
      </c>
      <c r="G749">
        <f>Raw_Data!E749</f>
        <v>31045.43</v>
      </c>
      <c r="H749">
        <f>Raw_Data!I749</f>
        <v>42837.37</v>
      </c>
      <c r="I749">
        <f>Raw_Data!J749</f>
        <v>0</v>
      </c>
      <c r="J749">
        <f t="shared" si="23"/>
        <v>4</v>
      </c>
      <c r="K749" t="str">
        <f t="shared" si="24"/>
        <v>Medium Risk</v>
      </c>
    </row>
    <row r="750" spans="1:11" x14ac:dyDescent="0.35">
      <c r="A750">
        <f>Raw_Data!A750</f>
        <v>749</v>
      </c>
      <c r="B750">
        <f>Raw_Data!B750</f>
        <v>37</v>
      </c>
      <c r="C750">
        <f>Raw_Data!D750</f>
        <v>43</v>
      </c>
      <c r="D750">
        <f>Raw_Data!F750</f>
        <v>4</v>
      </c>
      <c r="E750">
        <f>Raw_Data!H750</f>
        <v>1</v>
      </c>
      <c r="F750">
        <f>Raw_Data!G750</f>
        <v>1</v>
      </c>
      <c r="G750">
        <f>Raw_Data!E750</f>
        <v>46433.01</v>
      </c>
      <c r="H750">
        <f>Raw_Data!I750</f>
        <v>86714.69</v>
      </c>
      <c r="I750">
        <f>Raw_Data!J750</f>
        <v>0</v>
      </c>
      <c r="J750">
        <f t="shared" si="23"/>
        <v>3</v>
      </c>
      <c r="K750" t="str">
        <f t="shared" si="24"/>
        <v>Medium Risk</v>
      </c>
    </row>
    <row r="751" spans="1:11" x14ac:dyDescent="0.35">
      <c r="A751">
        <f>Raw_Data!A751</f>
        <v>750</v>
      </c>
      <c r="B751">
        <f>Raw_Data!B751</f>
        <v>35</v>
      </c>
      <c r="C751">
        <f>Raw_Data!D751</f>
        <v>1</v>
      </c>
      <c r="D751">
        <f>Raw_Data!F751</f>
        <v>3</v>
      </c>
      <c r="E751">
        <f>Raw_Data!H751</f>
        <v>1</v>
      </c>
      <c r="F751">
        <f>Raw_Data!G751</f>
        <v>1</v>
      </c>
      <c r="G751">
        <f>Raw_Data!E751</f>
        <v>38042.720000000001</v>
      </c>
      <c r="H751">
        <f>Raw_Data!I751</f>
        <v>112999.53</v>
      </c>
      <c r="I751">
        <f>Raw_Data!J751</f>
        <v>0</v>
      </c>
      <c r="J751">
        <f t="shared" si="23"/>
        <v>2</v>
      </c>
      <c r="K751" t="str">
        <f t="shared" si="24"/>
        <v>Low Risk</v>
      </c>
    </row>
    <row r="752" spans="1:11" x14ac:dyDescent="0.35">
      <c r="A752">
        <f>Raw_Data!A752</f>
        <v>751</v>
      </c>
      <c r="B752">
        <f>Raw_Data!B752</f>
        <v>64</v>
      </c>
      <c r="C752">
        <f>Raw_Data!D752</f>
        <v>51</v>
      </c>
      <c r="D752">
        <f>Raw_Data!F752</f>
        <v>1</v>
      </c>
      <c r="E752">
        <f>Raw_Data!H752</f>
        <v>0</v>
      </c>
      <c r="F752">
        <f>Raw_Data!G752</f>
        <v>1</v>
      </c>
      <c r="G752">
        <f>Raw_Data!E752</f>
        <v>27342.98</v>
      </c>
      <c r="H752">
        <f>Raw_Data!I752</f>
        <v>146523.91</v>
      </c>
      <c r="I752">
        <f>Raw_Data!J752</f>
        <v>0</v>
      </c>
      <c r="J752">
        <f t="shared" si="23"/>
        <v>3</v>
      </c>
      <c r="K752" t="str">
        <f t="shared" si="24"/>
        <v>Medium Risk</v>
      </c>
    </row>
    <row r="753" spans="1:11" x14ac:dyDescent="0.35">
      <c r="A753">
        <f>Raw_Data!A753</f>
        <v>752</v>
      </c>
      <c r="B753">
        <f>Raw_Data!B753</f>
        <v>58</v>
      </c>
      <c r="C753">
        <f>Raw_Data!D753</f>
        <v>24</v>
      </c>
      <c r="D753">
        <f>Raw_Data!F753</f>
        <v>2</v>
      </c>
      <c r="E753">
        <f>Raw_Data!H753</f>
        <v>0</v>
      </c>
      <c r="F753">
        <f>Raw_Data!G753</f>
        <v>1</v>
      </c>
      <c r="G753">
        <f>Raw_Data!E753</f>
        <v>9015.4</v>
      </c>
      <c r="H753">
        <f>Raw_Data!I753</f>
        <v>46182.82</v>
      </c>
      <c r="I753">
        <f>Raw_Data!J753</f>
        <v>0</v>
      </c>
      <c r="J753">
        <f t="shared" si="23"/>
        <v>3</v>
      </c>
      <c r="K753" t="str">
        <f t="shared" si="24"/>
        <v>Medium Risk</v>
      </c>
    </row>
    <row r="754" spans="1:11" x14ac:dyDescent="0.35">
      <c r="A754">
        <f>Raw_Data!A754</f>
        <v>753</v>
      </c>
      <c r="B754">
        <f>Raw_Data!B754</f>
        <v>66</v>
      </c>
      <c r="C754">
        <f>Raw_Data!D754</f>
        <v>24</v>
      </c>
      <c r="D754">
        <f>Raw_Data!F754</f>
        <v>1</v>
      </c>
      <c r="E754">
        <f>Raw_Data!H754</f>
        <v>1</v>
      </c>
      <c r="F754">
        <f>Raw_Data!G754</f>
        <v>0</v>
      </c>
      <c r="G754">
        <f>Raw_Data!E754</f>
        <v>22929.9</v>
      </c>
      <c r="H754">
        <f>Raw_Data!I754</f>
        <v>21240.639999999999</v>
      </c>
      <c r="I754">
        <f>Raw_Data!J754</f>
        <v>0</v>
      </c>
      <c r="J754">
        <f t="shared" si="23"/>
        <v>1</v>
      </c>
      <c r="K754" t="str">
        <f t="shared" si="24"/>
        <v>Low Risk</v>
      </c>
    </row>
    <row r="755" spans="1:11" x14ac:dyDescent="0.35">
      <c r="A755">
        <f>Raw_Data!A755</f>
        <v>754</v>
      </c>
      <c r="B755">
        <f>Raw_Data!B755</f>
        <v>31</v>
      </c>
      <c r="C755">
        <f>Raw_Data!D755</f>
        <v>17</v>
      </c>
      <c r="D755">
        <f>Raw_Data!F755</f>
        <v>4</v>
      </c>
      <c r="E755">
        <f>Raw_Data!H755</f>
        <v>1</v>
      </c>
      <c r="F755">
        <f>Raw_Data!G755</f>
        <v>1</v>
      </c>
      <c r="G755">
        <f>Raw_Data!E755</f>
        <v>28043.72</v>
      </c>
      <c r="H755">
        <f>Raw_Data!I755</f>
        <v>29789.19</v>
      </c>
      <c r="I755">
        <f>Raw_Data!J755</f>
        <v>0</v>
      </c>
      <c r="J755">
        <f t="shared" si="23"/>
        <v>2</v>
      </c>
      <c r="K755" t="str">
        <f t="shared" si="24"/>
        <v>Low Risk</v>
      </c>
    </row>
    <row r="756" spans="1:11" x14ac:dyDescent="0.35">
      <c r="A756">
        <f>Raw_Data!A756</f>
        <v>755</v>
      </c>
      <c r="B756">
        <f>Raw_Data!B756</f>
        <v>32</v>
      </c>
      <c r="C756">
        <f>Raw_Data!D756</f>
        <v>5</v>
      </c>
      <c r="D756">
        <f>Raw_Data!F756</f>
        <v>2</v>
      </c>
      <c r="E756">
        <f>Raw_Data!H756</f>
        <v>1</v>
      </c>
      <c r="F756">
        <f>Raw_Data!G756</f>
        <v>1</v>
      </c>
      <c r="G756">
        <f>Raw_Data!E756</f>
        <v>43198.080000000002</v>
      </c>
      <c r="H756">
        <f>Raw_Data!I756</f>
        <v>68860.820000000007</v>
      </c>
      <c r="I756">
        <f>Raw_Data!J756</f>
        <v>0</v>
      </c>
      <c r="J756">
        <f t="shared" si="23"/>
        <v>3</v>
      </c>
      <c r="K756" t="str">
        <f t="shared" si="24"/>
        <v>Medium Risk</v>
      </c>
    </row>
    <row r="757" spans="1:11" x14ac:dyDescent="0.35">
      <c r="A757">
        <f>Raw_Data!A757</f>
        <v>756</v>
      </c>
      <c r="B757">
        <f>Raw_Data!B757</f>
        <v>48</v>
      </c>
      <c r="C757">
        <f>Raw_Data!D757</f>
        <v>20</v>
      </c>
      <c r="D757">
        <f>Raw_Data!F757</f>
        <v>4</v>
      </c>
      <c r="E757">
        <f>Raw_Data!H757</f>
        <v>1</v>
      </c>
      <c r="F757">
        <f>Raw_Data!G757</f>
        <v>1</v>
      </c>
      <c r="G757">
        <f>Raw_Data!E757</f>
        <v>24066.67</v>
      </c>
      <c r="H757">
        <f>Raw_Data!I757</f>
        <v>126670.8</v>
      </c>
      <c r="I757">
        <f>Raw_Data!J757</f>
        <v>0</v>
      </c>
      <c r="J757">
        <f t="shared" si="23"/>
        <v>2</v>
      </c>
      <c r="K757" t="str">
        <f t="shared" si="24"/>
        <v>Low Risk</v>
      </c>
    </row>
    <row r="758" spans="1:11" x14ac:dyDescent="0.35">
      <c r="A758">
        <f>Raw_Data!A758</f>
        <v>757</v>
      </c>
      <c r="B758">
        <f>Raw_Data!B758</f>
        <v>18</v>
      </c>
      <c r="C758">
        <f>Raw_Data!D758</f>
        <v>21</v>
      </c>
      <c r="D758">
        <f>Raw_Data!F758</f>
        <v>3</v>
      </c>
      <c r="E758">
        <f>Raw_Data!H758</f>
        <v>1</v>
      </c>
      <c r="F758">
        <f>Raw_Data!G758</f>
        <v>0</v>
      </c>
      <c r="G758">
        <f>Raw_Data!E758</f>
        <v>44883.73</v>
      </c>
      <c r="H758">
        <f>Raw_Data!I758</f>
        <v>20928.47</v>
      </c>
      <c r="I758">
        <f>Raw_Data!J758</f>
        <v>0</v>
      </c>
      <c r="J758">
        <f t="shared" si="23"/>
        <v>1</v>
      </c>
      <c r="K758" t="str">
        <f t="shared" si="24"/>
        <v>Low Risk</v>
      </c>
    </row>
    <row r="759" spans="1:11" x14ac:dyDescent="0.35">
      <c r="A759">
        <f>Raw_Data!A759</f>
        <v>758</v>
      </c>
      <c r="B759">
        <f>Raw_Data!B759</f>
        <v>20</v>
      </c>
      <c r="C759">
        <f>Raw_Data!D759</f>
        <v>58</v>
      </c>
      <c r="D759">
        <f>Raw_Data!F759</f>
        <v>4</v>
      </c>
      <c r="E759">
        <f>Raw_Data!H759</f>
        <v>0</v>
      </c>
      <c r="F759">
        <f>Raw_Data!G759</f>
        <v>0</v>
      </c>
      <c r="G759">
        <f>Raw_Data!E759</f>
        <v>33717.449999999997</v>
      </c>
      <c r="H759">
        <f>Raw_Data!I759</f>
        <v>79374.98</v>
      </c>
      <c r="I759">
        <f>Raw_Data!J759</f>
        <v>0</v>
      </c>
      <c r="J759">
        <f t="shared" si="23"/>
        <v>4</v>
      </c>
      <c r="K759" t="str">
        <f t="shared" si="24"/>
        <v>Medium Risk</v>
      </c>
    </row>
    <row r="760" spans="1:11" x14ac:dyDescent="0.35">
      <c r="A760">
        <f>Raw_Data!A760</f>
        <v>759</v>
      </c>
      <c r="B760">
        <f>Raw_Data!B760</f>
        <v>33</v>
      </c>
      <c r="C760">
        <f>Raw_Data!D760</f>
        <v>31</v>
      </c>
      <c r="D760">
        <f>Raw_Data!F760</f>
        <v>4</v>
      </c>
      <c r="E760">
        <f>Raw_Data!H760</f>
        <v>1</v>
      </c>
      <c r="F760">
        <f>Raw_Data!G760</f>
        <v>1</v>
      </c>
      <c r="G760">
        <f>Raw_Data!E760</f>
        <v>6849.95</v>
      </c>
      <c r="H760">
        <f>Raw_Data!I760</f>
        <v>62799.98</v>
      </c>
      <c r="I760">
        <f>Raw_Data!J760</f>
        <v>0</v>
      </c>
      <c r="J760">
        <f t="shared" si="23"/>
        <v>2</v>
      </c>
      <c r="K760" t="str">
        <f t="shared" si="24"/>
        <v>Low Risk</v>
      </c>
    </row>
    <row r="761" spans="1:11" x14ac:dyDescent="0.35">
      <c r="A761">
        <f>Raw_Data!A761</f>
        <v>760</v>
      </c>
      <c r="B761">
        <f>Raw_Data!B761</f>
        <v>40</v>
      </c>
      <c r="C761">
        <f>Raw_Data!D761</f>
        <v>11</v>
      </c>
      <c r="D761">
        <f>Raw_Data!F761</f>
        <v>3</v>
      </c>
      <c r="E761">
        <f>Raw_Data!H761</f>
        <v>0</v>
      </c>
      <c r="F761">
        <f>Raw_Data!G761</f>
        <v>1</v>
      </c>
      <c r="G761">
        <f>Raw_Data!E761</f>
        <v>49749.07</v>
      </c>
      <c r="H761">
        <f>Raw_Data!I761</f>
        <v>26822.62</v>
      </c>
      <c r="I761">
        <f>Raw_Data!J761</f>
        <v>0</v>
      </c>
      <c r="J761">
        <f t="shared" si="23"/>
        <v>5</v>
      </c>
      <c r="K761" t="str">
        <f t="shared" si="24"/>
        <v>High Risk</v>
      </c>
    </row>
    <row r="762" spans="1:11" x14ac:dyDescent="0.35">
      <c r="A762">
        <f>Raw_Data!A762</f>
        <v>761</v>
      </c>
      <c r="B762">
        <f>Raw_Data!B762</f>
        <v>28</v>
      </c>
      <c r="C762">
        <f>Raw_Data!D762</f>
        <v>52</v>
      </c>
      <c r="D762">
        <f>Raw_Data!F762</f>
        <v>1</v>
      </c>
      <c r="E762">
        <f>Raw_Data!H762</f>
        <v>0</v>
      </c>
      <c r="F762">
        <f>Raw_Data!G762</f>
        <v>1</v>
      </c>
      <c r="G762">
        <f>Raw_Data!E762</f>
        <v>26361.63</v>
      </c>
      <c r="H762">
        <f>Raw_Data!I762</f>
        <v>78530.720000000001</v>
      </c>
      <c r="I762">
        <f>Raw_Data!J762</f>
        <v>0</v>
      </c>
      <c r="J762">
        <f t="shared" si="23"/>
        <v>2</v>
      </c>
      <c r="K762" t="str">
        <f t="shared" si="24"/>
        <v>Low Risk</v>
      </c>
    </row>
    <row r="763" spans="1:11" x14ac:dyDescent="0.35">
      <c r="A763">
        <f>Raw_Data!A763</f>
        <v>762</v>
      </c>
      <c r="B763">
        <f>Raw_Data!B763</f>
        <v>29</v>
      </c>
      <c r="C763">
        <f>Raw_Data!D763</f>
        <v>15</v>
      </c>
      <c r="D763">
        <f>Raw_Data!F763</f>
        <v>3</v>
      </c>
      <c r="E763">
        <f>Raw_Data!H763</f>
        <v>0</v>
      </c>
      <c r="F763">
        <f>Raw_Data!G763</f>
        <v>1</v>
      </c>
      <c r="G763">
        <f>Raw_Data!E763</f>
        <v>19592.91</v>
      </c>
      <c r="H763">
        <f>Raw_Data!I763</f>
        <v>53117.33</v>
      </c>
      <c r="I763">
        <f>Raw_Data!J763</f>
        <v>0</v>
      </c>
      <c r="J763">
        <f t="shared" si="23"/>
        <v>2</v>
      </c>
      <c r="K763" t="str">
        <f t="shared" si="24"/>
        <v>Low Risk</v>
      </c>
    </row>
    <row r="764" spans="1:11" x14ac:dyDescent="0.35">
      <c r="A764">
        <f>Raw_Data!A764</f>
        <v>763</v>
      </c>
      <c r="B764">
        <f>Raw_Data!B764</f>
        <v>27</v>
      </c>
      <c r="C764">
        <f>Raw_Data!D764</f>
        <v>7</v>
      </c>
      <c r="D764">
        <f>Raw_Data!F764</f>
        <v>3</v>
      </c>
      <c r="E764">
        <f>Raw_Data!H764</f>
        <v>1</v>
      </c>
      <c r="F764">
        <f>Raw_Data!G764</f>
        <v>0</v>
      </c>
      <c r="G764">
        <f>Raw_Data!E764</f>
        <v>32955.69</v>
      </c>
      <c r="H764">
        <f>Raw_Data!I764</f>
        <v>65745.03</v>
      </c>
      <c r="I764">
        <f>Raw_Data!J764</f>
        <v>0</v>
      </c>
      <c r="J764">
        <f t="shared" si="23"/>
        <v>2</v>
      </c>
      <c r="K764" t="str">
        <f t="shared" si="24"/>
        <v>Low Risk</v>
      </c>
    </row>
    <row r="765" spans="1:11" x14ac:dyDescent="0.35">
      <c r="A765">
        <f>Raw_Data!A765</f>
        <v>764</v>
      </c>
      <c r="B765">
        <f>Raw_Data!B765</f>
        <v>49</v>
      </c>
      <c r="C765">
        <f>Raw_Data!D765</f>
        <v>28</v>
      </c>
      <c r="D765">
        <f>Raw_Data!F765</f>
        <v>4</v>
      </c>
      <c r="E765">
        <f>Raw_Data!H765</f>
        <v>0</v>
      </c>
      <c r="F765">
        <f>Raw_Data!G765</f>
        <v>1</v>
      </c>
      <c r="G765">
        <f>Raw_Data!E765</f>
        <v>5444.67</v>
      </c>
      <c r="H765">
        <f>Raw_Data!I765</f>
        <v>111729.99</v>
      </c>
      <c r="I765">
        <f>Raw_Data!J765</f>
        <v>0</v>
      </c>
      <c r="J765">
        <f t="shared" si="23"/>
        <v>4</v>
      </c>
      <c r="K765" t="str">
        <f t="shared" si="24"/>
        <v>Medium Risk</v>
      </c>
    </row>
    <row r="766" spans="1:11" x14ac:dyDescent="0.35">
      <c r="A766">
        <f>Raw_Data!A766</f>
        <v>765</v>
      </c>
      <c r="B766">
        <f>Raw_Data!B766</f>
        <v>33</v>
      </c>
      <c r="C766">
        <f>Raw_Data!D766</f>
        <v>51</v>
      </c>
      <c r="D766">
        <f>Raw_Data!F766</f>
        <v>1</v>
      </c>
      <c r="E766">
        <f>Raw_Data!H766</f>
        <v>0</v>
      </c>
      <c r="F766">
        <f>Raw_Data!G766</f>
        <v>1</v>
      </c>
      <c r="G766">
        <f>Raw_Data!E766</f>
        <v>31826.93</v>
      </c>
      <c r="H766">
        <f>Raw_Data!I766</f>
        <v>87801.63</v>
      </c>
      <c r="I766">
        <f>Raw_Data!J766</f>
        <v>0</v>
      </c>
      <c r="J766">
        <f t="shared" si="23"/>
        <v>2</v>
      </c>
      <c r="K766" t="str">
        <f t="shared" si="24"/>
        <v>Low Risk</v>
      </c>
    </row>
    <row r="767" spans="1:11" x14ac:dyDescent="0.35">
      <c r="A767">
        <f>Raw_Data!A767</f>
        <v>766</v>
      </c>
      <c r="B767">
        <f>Raw_Data!B767</f>
        <v>25</v>
      </c>
      <c r="C767">
        <f>Raw_Data!D767</f>
        <v>58</v>
      </c>
      <c r="D767">
        <f>Raw_Data!F767</f>
        <v>2</v>
      </c>
      <c r="E767">
        <f>Raw_Data!H767</f>
        <v>0</v>
      </c>
      <c r="F767">
        <f>Raw_Data!G767</f>
        <v>1</v>
      </c>
      <c r="G767">
        <f>Raw_Data!E767</f>
        <v>24911.8</v>
      </c>
      <c r="H767">
        <f>Raw_Data!I767</f>
        <v>36204.17</v>
      </c>
      <c r="I767">
        <f>Raw_Data!J767</f>
        <v>0</v>
      </c>
      <c r="J767">
        <f t="shared" si="23"/>
        <v>2</v>
      </c>
      <c r="K767" t="str">
        <f t="shared" si="24"/>
        <v>Low Risk</v>
      </c>
    </row>
    <row r="768" spans="1:11" x14ac:dyDescent="0.35">
      <c r="A768">
        <f>Raw_Data!A768</f>
        <v>767</v>
      </c>
      <c r="B768">
        <f>Raw_Data!B768</f>
        <v>55</v>
      </c>
      <c r="C768">
        <f>Raw_Data!D768</f>
        <v>5</v>
      </c>
      <c r="D768">
        <f>Raw_Data!F768</f>
        <v>3</v>
      </c>
      <c r="E768">
        <f>Raw_Data!H768</f>
        <v>0</v>
      </c>
      <c r="F768">
        <f>Raw_Data!G768</f>
        <v>0</v>
      </c>
      <c r="G768">
        <f>Raw_Data!E768</f>
        <v>20333.7</v>
      </c>
      <c r="H768">
        <f>Raw_Data!I768</f>
        <v>144983.89000000001</v>
      </c>
      <c r="I768">
        <f>Raw_Data!J768</f>
        <v>0</v>
      </c>
      <c r="J768">
        <f t="shared" si="23"/>
        <v>4</v>
      </c>
      <c r="K768" t="str">
        <f t="shared" si="24"/>
        <v>Medium Risk</v>
      </c>
    </row>
    <row r="769" spans="1:11" x14ac:dyDescent="0.35">
      <c r="A769">
        <f>Raw_Data!A769</f>
        <v>768</v>
      </c>
      <c r="B769">
        <f>Raw_Data!B769</f>
        <v>29</v>
      </c>
      <c r="C769">
        <f>Raw_Data!D769</f>
        <v>5</v>
      </c>
      <c r="D769">
        <f>Raw_Data!F769</f>
        <v>1</v>
      </c>
      <c r="E769">
        <f>Raw_Data!H769</f>
        <v>1</v>
      </c>
      <c r="F769">
        <f>Raw_Data!G769</f>
        <v>0</v>
      </c>
      <c r="G769">
        <f>Raw_Data!E769</f>
        <v>47651</v>
      </c>
      <c r="H769">
        <f>Raw_Data!I769</f>
        <v>102668.4</v>
      </c>
      <c r="I769">
        <f>Raw_Data!J769</f>
        <v>0</v>
      </c>
      <c r="J769">
        <f t="shared" si="23"/>
        <v>3</v>
      </c>
      <c r="K769" t="str">
        <f t="shared" si="24"/>
        <v>Medium Risk</v>
      </c>
    </row>
    <row r="770" spans="1:11" x14ac:dyDescent="0.35">
      <c r="A770">
        <f>Raw_Data!A770</f>
        <v>769</v>
      </c>
      <c r="B770">
        <f>Raw_Data!B770</f>
        <v>41</v>
      </c>
      <c r="C770">
        <f>Raw_Data!D770</f>
        <v>8</v>
      </c>
      <c r="D770">
        <f>Raw_Data!F770</f>
        <v>3</v>
      </c>
      <c r="E770">
        <f>Raw_Data!H770</f>
        <v>1</v>
      </c>
      <c r="F770">
        <f>Raw_Data!G770</f>
        <v>1</v>
      </c>
      <c r="G770">
        <f>Raw_Data!E770</f>
        <v>26126.99</v>
      </c>
      <c r="H770">
        <f>Raw_Data!I770</f>
        <v>119562.9</v>
      </c>
      <c r="I770">
        <f>Raw_Data!J770</f>
        <v>0</v>
      </c>
      <c r="J770">
        <f t="shared" si="23"/>
        <v>2</v>
      </c>
      <c r="K770" t="str">
        <f t="shared" si="24"/>
        <v>Low Risk</v>
      </c>
    </row>
    <row r="771" spans="1:11" x14ac:dyDescent="0.35">
      <c r="A771">
        <f>Raw_Data!A771</f>
        <v>770</v>
      </c>
      <c r="B771">
        <f>Raw_Data!B771</f>
        <v>45</v>
      </c>
      <c r="C771">
        <f>Raw_Data!D771</f>
        <v>64</v>
      </c>
      <c r="D771">
        <f>Raw_Data!F771</f>
        <v>3</v>
      </c>
      <c r="E771">
        <f>Raw_Data!H771</f>
        <v>0</v>
      </c>
      <c r="F771">
        <f>Raw_Data!G771</f>
        <v>1</v>
      </c>
      <c r="G771">
        <f>Raw_Data!E771</f>
        <v>10955.87</v>
      </c>
      <c r="H771">
        <f>Raw_Data!I771</f>
        <v>30297.71</v>
      </c>
      <c r="I771">
        <f>Raw_Data!J771</f>
        <v>0</v>
      </c>
      <c r="J771">
        <f t="shared" ref="J771:J834" si="25">IF(E771=0,2,0)+IF(D771=4,2,0)+IF(C771&lt;=12,2,0)+IF(B771&gt;=56,1,0)+IF(G771&gt;=40000,1,0)</f>
        <v>2</v>
      </c>
      <c r="K771" t="str">
        <f t="shared" ref="K771:K834" si="26">IF(J771&gt;=5,"High Risk",IF(J771&gt;=3,"Medium Risk","Low Risk"))</f>
        <v>Low Risk</v>
      </c>
    </row>
    <row r="772" spans="1:11" x14ac:dyDescent="0.35">
      <c r="A772">
        <f>Raw_Data!A772</f>
        <v>771</v>
      </c>
      <c r="B772">
        <f>Raw_Data!B772</f>
        <v>25</v>
      </c>
      <c r="C772">
        <f>Raw_Data!D772</f>
        <v>10</v>
      </c>
      <c r="D772">
        <f>Raw_Data!F772</f>
        <v>3</v>
      </c>
      <c r="E772">
        <f>Raw_Data!H772</f>
        <v>0</v>
      </c>
      <c r="F772">
        <f>Raw_Data!G772</f>
        <v>1</v>
      </c>
      <c r="G772">
        <f>Raw_Data!E772</f>
        <v>22948.17</v>
      </c>
      <c r="H772">
        <f>Raw_Data!I772</f>
        <v>26117.59</v>
      </c>
      <c r="I772">
        <f>Raw_Data!J772</f>
        <v>0</v>
      </c>
      <c r="J772">
        <f t="shared" si="25"/>
        <v>4</v>
      </c>
      <c r="K772" t="str">
        <f t="shared" si="26"/>
        <v>Medium Risk</v>
      </c>
    </row>
    <row r="773" spans="1:11" x14ac:dyDescent="0.35">
      <c r="A773">
        <f>Raw_Data!A773</f>
        <v>772</v>
      </c>
      <c r="B773">
        <f>Raw_Data!B773</f>
        <v>45</v>
      </c>
      <c r="C773">
        <f>Raw_Data!D773</f>
        <v>38</v>
      </c>
      <c r="D773">
        <f>Raw_Data!F773</f>
        <v>3</v>
      </c>
      <c r="E773">
        <f>Raw_Data!H773</f>
        <v>1</v>
      </c>
      <c r="F773">
        <f>Raw_Data!G773</f>
        <v>1</v>
      </c>
      <c r="G773">
        <f>Raw_Data!E773</f>
        <v>45969.37</v>
      </c>
      <c r="H773">
        <f>Raw_Data!I773</f>
        <v>22528.25</v>
      </c>
      <c r="I773">
        <f>Raw_Data!J773</f>
        <v>0</v>
      </c>
      <c r="J773">
        <f t="shared" si="25"/>
        <v>1</v>
      </c>
      <c r="K773" t="str">
        <f t="shared" si="26"/>
        <v>Low Risk</v>
      </c>
    </row>
    <row r="774" spans="1:11" x14ac:dyDescent="0.35">
      <c r="A774">
        <f>Raw_Data!A774</f>
        <v>773</v>
      </c>
      <c r="B774">
        <f>Raw_Data!B774</f>
        <v>53</v>
      </c>
      <c r="C774">
        <f>Raw_Data!D774</f>
        <v>8</v>
      </c>
      <c r="D774">
        <f>Raw_Data!F774</f>
        <v>4</v>
      </c>
      <c r="E774">
        <f>Raw_Data!H774</f>
        <v>1</v>
      </c>
      <c r="F774">
        <f>Raw_Data!G774</f>
        <v>1</v>
      </c>
      <c r="G774">
        <f>Raw_Data!E774</f>
        <v>8804.77</v>
      </c>
      <c r="H774">
        <f>Raw_Data!I774</f>
        <v>44543.22</v>
      </c>
      <c r="I774">
        <f>Raw_Data!J774</f>
        <v>0</v>
      </c>
      <c r="J774">
        <f t="shared" si="25"/>
        <v>4</v>
      </c>
      <c r="K774" t="str">
        <f t="shared" si="26"/>
        <v>Medium Risk</v>
      </c>
    </row>
    <row r="775" spans="1:11" x14ac:dyDescent="0.35">
      <c r="A775">
        <f>Raw_Data!A775</f>
        <v>774</v>
      </c>
      <c r="B775">
        <f>Raw_Data!B775</f>
        <v>43</v>
      </c>
      <c r="C775">
        <f>Raw_Data!D775</f>
        <v>25</v>
      </c>
      <c r="D775">
        <f>Raw_Data!F775</f>
        <v>1</v>
      </c>
      <c r="E775">
        <f>Raw_Data!H775</f>
        <v>1</v>
      </c>
      <c r="F775">
        <f>Raw_Data!G775</f>
        <v>0</v>
      </c>
      <c r="G775">
        <f>Raw_Data!E775</f>
        <v>10697.85</v>
      </c>
      <c r="H775">
        <f>Raw_Data!I775</f>
        <v>73873.09</v>
      </c>
      <c r="I775">
        <f>Raw_Data!J775</f>
        <v>0</v>
      </c>
      <c r="J775">
        <f t="shared" si="25"/>
        <v>0</v>
      </c>
      <c r="K775" t="str">
        <f t="shared" si="26"/>
        <v>Low Risk</v>
      </c>
    </row>
    <row r="776" spans="1:11" x14ac:dyDescent="0.35">
      <c r="A776">
        <f>Raw_Data!A776</f>
        <v>775</v>
      </c>
      <c r="B776">
        <f>Raw_Data!B776</f>
        <v>25</v>
      </c>
      <c r="C776">
        <f>Raw_Data!D776</f>
        <v>66</v>
      </c>
      <c r="D776">
        <f>Raw_Data!F776</f>
        <v>1</v>
      </c>
      <c r="E776">
        <f>Raw_Data!H776</f>
        <v>0</v>
      </c>
      <c r="F776">
        <f>Raw_Data!G776</f>
        <v>0</v>
      </c>
      <c r="G776">
        <f>Raw_Data!E776</f>
        <v>651.48</v>
      </c>
      <c r="H776">
        <f>Raw_Data!I776</f>
        <v>141657.4</v>
      </c>
      <c r="I776">
        <f>Raw_Data!J776</f>
        <v>0</v>
      </c>
      <c r="J776">
        <f t="shared" si="25"/>
        <v>2</v>
      </c>
      <c r="K776" t="str">
        <f t="shared" si="26"/>
        <v>Low Risk</v>
      </c>
    </row>
    <row r="777" spans="1:11" x14ac:dyDescent="0.35">
      <c r="A777">
        <f>Raw_Data!A777</f>
        <v>776</v>
      </c>
      <c r="B777">
        <f>Raw_Data!B777</f>
        <v>67</v>
      </c>
      <c r="C777">
        <f>Raw_Data!D777</f>
        <v>50</v>
      </c>
      <c r="D777">
        <f>Raw_Data!F777</f>
        <v>1</v>
      </c>
      <c r="E777">
        <f>Raw_Data!H777</f>
        <v>1</v>
      </c>
      <c r="F777">
        <f>Raw_Data!G777</f>
        <v>0</v>
      </c>
      <c r="G777">
        <f>Raw_Data!E777</f>
        <v>709.5</v>
      </c>
      <c r="H777">
        <f>Raw_Data!I777</f>
        <v>79417.759999999995</v>
      </c>
      <c r="I777">
        <f>Raw_Data!J777</f>
        <v>0</v>
      </c>
      <c r="J777">
        <f t="shared" si="25"/>
        <v>1</v>
      </c>
      <c r="K777" t="str">
        <f t="shared" si="26"/>
        <v>Low Risk</v>
      </c>
    </row>
    <row r="778" spans="1:11" x14ac:dyDescent="0.35">
      <c r="A778">
        <f>Raw_Data!A778</f>
        <v>777</v>
      </c>
      <c r="B778">
        <f>Raw_Data!B778</f>
        <v>45</v>
      </c>
      <c r="C778">
        <f>Raw_Data!D778</f>
        <v>67</v>
      </c>
      <c r="D778">
        <f>Raw_Data!F778</f>
        <v>3</v>
      </c>
      <c r="E778">
        <f>Raw_Data!H778</f>
        <v>0</v>
      </c>
      <c r="F778">
        <f>Raw_Data!G778</f>
        <v>1</v>
      </c>
      <c r="G778">
        <f>Raw_Data!E778</f>
        <v>41469.58</v>
      </c>
      <c r="H778">
        <f>Raw_Data!I778</f>
        <v>57733.16</v>
      </c>
      <c r="I778">
        <f>Raw_Data!J778</f>
        <v>0</v>
      </c>
      <c r="J778">
        <f t="shared" si="25"/>
        <v>3</v>
      </c>
      <c r="K778" t="str">
        <f t="shared" si="26"/>
        <v>Medium Risk</v>
      </c>
    </row>
    <row r="779" spans="1:11" x14ac:dyDescent="0.35">
      <c r="A779">
        <f>Raw_Data!A779</f>
        <v>778</v>
      </c>
      <c r="B779">
        <f>Raw_Data!B779</f>
        <v>45</v>
      </c>
      <c r="C779">
        <f>Raw_Data!D779</f>
        <v>49</v>
      </c>
      <c r="D779">
        <f>Raw_Data!F779</f>
        <v>4</v>
      </c>
      <c r="E779">
        <f>Raw_Data!H779</f>
        <v>0</v>
      </c>
      <c r="F779">
        <f>Raw_Data!G779</f>
        <v>0</v>
      </c>
      <c r="G779">
        <f>Raw_Data!E779</f>
        <v>36606.129999999997</v>
      </c>
      <c r="H779">
        <f>Raw_Data!I779</f>
        <v>93051.58</v>
      </c>
      <c r="I779">
        <f>Raw_Data!J779</f>
        <v>0</v>
      </c>
      <c r="J779">
        <f t="shared" si="25"/>
        <v>4</v>
      </c>
      <c r="K779" t="str">
        <f t="shared" si="26"/>
        <v>Medium Risk</v>
      </c>
    </row>
    <row r="780" spans="1:11" x14ac:dyDescent="0.35">
      <c r="A780">
        <f>Raw_Data!A780</f>
        <v>779</v>
      </c>
      <c r="B780">
        <f>Raw_Data!B780</f>
        <v>54</v>
      </c>
      <c r="C780">
        <f>Raw_Data!D780</f>
        <v>36</v>
      </c>
      <c r="D780">
        <f>Raw_Data!F780</f>
        <v>3</v>
      </c>
      <c r="E780">
        <f>Raw_Data!H780</f>
        <v>1</v>
      </c>
      <c r="F780">
        <f>Raw_Data!G780</f>
        <v>0</v>
      </c>
      <c r="G780">
        <f>Raw_Data!E780</f>
        <v>17752.05</v>
      </c>
      <c r="H780">
        <f>Raw_Data!I780</f>
        <v>34551.5</v>
      </c>
      <c r="I780">
        <f>Raw_Data!J780</f>
        <v>0</v>
      </c>
      <c r="J780">
        <f t="shared" si="25"/>
        <v>0</v>
      </c>
      <c r="K780" t="str">
        <f t="shared" si="26"/>
        <v>Low Risk</v>
      </c>
    </row>
    <row r="781" spans="1:11" x14ac:dyDescent="0.35">
      <c r="A781">
        <f>Raw_Data!A781</f>
        <v>780</v>
      </c>
      <c r="B781">
        <f>Raw_Data!B781</f>
        <v>58</v>
      </c>
      <c r="C781">
        <f>Raw_Data!D781</f>
        <v>68</v>
      </c>
      <c r="D781">
        <f>Raw_Data!F781</f>
        <v>3</v>
      </c>
      <c r="E781">
        <f>Raw_Data!H781</f>
        <v>0</v>
      </c>
      <c r="F781">
        <f>Raw_Data!G781</f>
        <v>0</v>
      </c>
      <c r="G781">
        <f>Raw_Data!E781</f>
        <v>34915.56</v>
      </c>
      <c r="H781">
        <f>Raw_Data!I781</f>
        <v>99235.77</v>
      </c>
      <c r="I781">
        <f>Raw_Data!J781</f>
        <v>0</v>
      </c>
      <c r="J781">
        <f t="shared" si="25"/>
        <v>3</v>
      </c>
      <c r="K781" t="str">
        <f t="shared" si="26"/>
        <v>Medium Risk</v>
      </c>
    </row>
    <row r="782" spans="1:11" x14ac:dyDescent="0.35">
      <c r="A782">
        <f>Raw_Data!A782</f>
        <v>781</v>
      </c>
      <c r="B782">
        <f>Raw_Data!B782</f>
        <v>53</v>
      </c>
      <c r="C782">
        <f>Raw_Data!D782</f>
        <v>41</v>
      </c>
      <c r="D782">
        <f>Raw_Data!F782</f>
        <v>1</v>
      </c>
      <c r="E782">
        <f>Raw_Data!H782</f>
        <v>1</v>
      </c>
      <c r="F782">
        <f>Raw_Data!G782</f>
        <v>1</v>
      </c>
      <c r="G782">
        <f>Raw_Data!E782</f>
        <v>19760.3</v>
      </c>
      <c r="H782">
        <f>Raw_Data!I782</f>
        <v>93896.15</v>
      </c>
      <c r="I782">
        <f>Raw_Data!J782</f>
        <v>0</v>
      </c>
      <c r="J782">
        <f t="shared" si="25"/>
        <v>0</v>
      </c>
      <c r="K782" t="str">
        <f t="shared" si="26"/>
        <v>Low Risk</v>
      </c>
    </row>
    <row r="783" spans="1:11" x14ac:dyDescent="0.35">
      <c r="A783">
        <f>Raw_Data!A783</f>
        <v>782</v>
      </c>
      <c r="B783">
        <f>Raw_Data!B783</f>
        <v>44</v>
      </c>
      <c r="C783">
        <f>Raw_Data!D783</f>
        <v>62</v>
      </c>
      <c r="D783">
        <f>Raw_Data!F783</f>
        <v>3</v>
      </c>
      <c r="E783">
        <f>Raw_Data!H783</f>
        <v>0</v>
      </c>
      <c r="F783">
        <f>Raw_Data!G783</f>
        <v>1</v>
      </c>
      <c r="G783">
        <f>Raw_Data!E783</f>
        <v>47644.84</v>
      </c>
      <c r="H783">
        <f>Raw_Data!I783</f>
        <v>122959.09</v>
      </c>
      <c r="I783">
        <f>Raw_Data!J783</f>
        <v>0</v>
      </c>
      <c r="J783">
        <f t="shared" si="25"/>
        <v>3</v>
      </c>
      <c r="K783" t="str">
        <f t="shared" si="26"/>
        <v>Medium Risk</v>
      </c>
    </row>
    <row r="784" spans="1:11" x14ac:dyDescent="0.35">
      <c r="A784">
        <f>Raw_Data!A784</f>
        <v>783</v>
      </c>
      <c r="B784">
        <f>Raw_Data!B784</f>
        <v>34</v>
      </c>
      <c r="C784">
        <f>Raw_Data!D784</f>
        <v>10</v>
      </c>
      <c r="D784">
        <f>Raw_Data!F784</f>
        <v>2</v>
      </c>
      <c r="E784">
        <f>Raw_Data!H784</f>
        <v>1</v>
      </c>
      <c r="F784">
        <f>Raw_Data!G784</f>
        <v>0</v>
      </c>
      <c r="G784">
        <f>Raw_Data!E784</f>
        <v>48352.63</v>
      </c>
      <c r="H784">
        <f>Raw_Data!I784</f>
        <v>148269.39000000001</v>
      </c>
      <c r="I784">
        <f>Raw_Data!J784</f>
        <v>0</v>
      </c>
      <c r="J784">
        <f t="shared" si="25"/>
        <v>3</v>
      </c>
      <c r="K784" t="str">
        <f t="shared" si="26"/>
        <v>Medium Risk</v>
      </c>
    </row>
    <row r="785" spans="1:11" x14ac:dyDescent="0.35">
      <c r="A785">
        <f>Raw_Data!A785</f>
        <v>784</v>
      </c>
      <c r="B785">
        <f>Raw_Data!B785</f>
        <v>26</v>
      </c>
      <c r="C785">
        <f>Raw_Data!D785</f>
        <v>21</v>
      </c>
      <c r="D785">
        <f>Raw_Data!F785</f>
        <v>3</v>
      </c>
      <c r="E785">
        <f>Raw_Data!H785</f>
        <v>0</v>
      </c>
      <c r="F785">
        <f>Raw_Data!G785</f>
        <v>1</v>
      </c>
      <c r="G785">
        <f>Raw_Data!E785</f>
        <v>19639.689999999999</v>
      </c>
      <c r="H785">
        <f>Raw_Data!I785</f>
        <v>52613.55</v>
      </c>
      <c r="I785">
        <f>Raw_Data!J785</f>
        <v>0</v>
      </c>
      <c r="J785">
        <f t="shared" si="25"/>
        <v>2</v>
      </c>
      <c r="K785" t="str">
        <f t="shared" si="26"/>
        <v>Low Risk</v>
      </c>
    </row>
    <row r="786" spans="1:11" x14ac:dyDescent="0.35">
      <c r="A786">
        <f>Raw_Data!A786</f>
        <v>785</v>
      </c>
      <c r="B786">
        <f>Raw_Data!B786</f>
        <v>50</v>
      </c>
      <c r="C786">
        <f>Raw_Data!D786</f>
        <v>36</v>
      </c>
      <c r="D786">
        <f>Raw_Data!F786</f>
        <v>2</v>
      </c>
      <c r="E786">
        <f>Raw_Data!H786</f>
        <v>0</v>
      </c>
      <c r="F786">
        <f>Raw_Data!G786</f>
        <v>0</v>
      </c>
      <c r="G786">
        <f>Raw_Data!E786</f>
        <v>42711.1</v>
      </c>
      <c r="H786">
        <f>Raw_Data!I786</f>
        <v>86255.34</v>
      </c>
      <c r="I786">
        <f>Raw_Data!J786</f>
        <v>0</v>
      </c>
      <c r="J786">
        <f t="shared" si="25"/>
        <v>3</v>
      </c>
      <c r="K786" t="str">
        <f t="shared" si="26"/>
        <v>Medium Risk</v>
      </c>
    </row>
    <row r="787" spans="1:11" x14ac:dyDescent="0.35">
      <c r="A787">
        <f>Raw_Data!A787</f>
        <v>786</v>
      </c>
      <c r="B787">
        <f>Raw_Data!B787</f>
        <v>37</v>
      </c>
      <c r="C787">
        <f>Raw_Data!D787</f>
        <v>12</v>
      </c>
      <c r="D787">
        <f>Raw_Data!F787</f>
        <v>3</v>
      </c>
      <c r="E787">
        <f>Raw_Data!H787</f>
        <v>1</v>
      </c>
      <c r="F787">
        <f>Raw_Data!G787</f>
        <v>0</v>
      </c>
      <c r="G787">
        <f>Raw_Data!E787</f>
        <v>38654.449999999997</v>
      </c>
      <c r="H787">
        <f>Raw_Data!I787</f>
        <v>138152.5</v>
      </c>
      <c r="I787">
        <f>Raw_Data!J787</f>
        <v>0</v>
      </c>
      <c r="J787">
        <f t="shared" si="25"/>
        <v>2</v>
      </c>
      <c r="K787" t="str">
        <f t="shared" si="26"/>
        <v>Low Risk</v>
      </c>
    </row>
    <row r="788" spans="1:11" x14ac:dyDescent="0.35">
      <c r="A788">
        <f>Raw_Data!A788</f>
        <v>787</v>
      </c>
      <c r="B788">
        <f>Raw_Data!B788</f>
        <v>30</v>
      </c>
      <c r="C788">
        <f>Raw_Data!D788</f>
        <v>2</v>
      </c>
      <c r="D788">
        <f>Raw_Data!F788</f>
        <v>4</v>
      </c>
      <c r="E788">
        <f>Raw_Data!H788</f>
        <v>1</v>
      </c>
      <c r="F788">
        <f>Raw_Data!G788</f>
        <v>0</v>
      </c>
      <c r="G788">
        <f>Raw_Data!E788</f>
        <v>15500</v>
      </c>
      <c r="H788">
        <f>Raw_Data!I788</f>
        <v>122074.68</v>
      </c>
      <c r="I788">
        <f>Raw_Data!J788</f>
        <v>0</v>
      </c>
      <c r="J788">
        <f t="shared" si="25"/>
        <v>4</v>
      </c>
      <c r="K788" t="str">
        <f t="shared" si="26"/>
        <v>Medium Risk</v>
      </c>
    </row>
    <row r="789" spans="1:11" x14ac:dyDescent="0.35">
      <c r="A789">
        <f>Raw_Data!A789</f>
        <v>788</v>
      </c>
      <c r="B789">
        <f>Raw_Data!B789</f>
        <v>45</v>
      </c>
      <c r="C789">
        <f>Raw_Data!D789</f>
        <v>13</v>
      </c>
      <c r="D789">
        <f>Raw_Data!F789</f>
        <v>4</v>
      </c>
      <c r="E789">
        <f>Raw_Data!H789</f>
        <v>1</v>
      </c>
      <c r="F789">
        <f>Raw_Data!G789</f>
        <v>0</v>
      </c>
      <c r="G789">
        <f>Raw_Data!E789</f>
        <v>11601.99</v>
      </c>
      <c r="H789">
        <f>Raw_Data!I789</f>
        <v>83362.820000000007</v>
      </c>
      <c r="I789">
        <f>Raw_Data!J789</f>
        <v>0</v>
      </c>
      <c r="J789">
        <f t="shared" si="25"/>
        <v>2</v>
      </c>
      <c r="K789" t="str">
        <f t="shared" si="26"/>
        <v>Low Risk</v>
      </c>
    </row>
    <row r="790" spans="1:11" x14ac:dyDescent="0.35">
      <c r="A790">
        <f>Raw_Data!A790</f>
        <v>789</v>
      </c>
      <c r="B790">
        <f>Raw_Data!B790</f>
        <v>65</v>
      </c>
      <c r="C790">
        <f>Raw_Data!D790</f>
        <v>53</v>
      </c>
      <c r="D790">
        <f>Raw_Data!F790</f>
        <v>1</v>
      </c>
      <c r="E790">
        <f>Raw_Data!H790</f>
        <v>1</v>
      </c>
      <c r="F790">
        <f>Raw_Data!G790</f>
        <v>1</v>
      </c>
      <c r="G790">
        <f>Raw_Data!E790</f>
        <v>22911.73</v>
      </c>
      <c r="H790">
        <f>Raw_Data!I790</f>
        <v>142898.31</v>
      </c>
      <c r="I790">
        <f>Raw_Data!J790</f>
        <v>0</v>
      </c>
      <c r="J790">
        <f t="shared" si="25"/>
        <v>1</v>
      </c>
      <c r="K790" t="str">
        <f t="shared" si="26"/>
        <v>Low Risk</v>
      </c>
    </row>
    <row r="791" spans="1:11" x14ac:dyDescent="0.35">
      <c r="A791">
        <f>Raw_Data!A791</f>
        <v>790</v>
      </c>
      <c r="B791">
        <f>Raw_Data!B791</f>
        <v>46</v>
      </c>
      <c r="C791">
        <f>Raw_Data!D791</f>
        <v>32</v>
      </c>
      <c r="D791">
        <f>Raw_Data!F791</f>
        <v>3</v>
      </c>
      <c r="E791">
        <f>Raw_Data!H791</f>
        <v>0</v>
      </c>
      <c r="F791">
        <f>Raw_Data!G791</f>
        <v>1</v>
      </c>
      <c r="G791">
        <f>Raw_Data!E791</f>
        <v>39067.440000000002</v>
      </c>
      <c r="H791">
        <f>Raw_Data!I791</f>
        <v>27440.77</v>
      </c>
      <c r="I791">
        <f>Raw_Data!J791</f>
        <v>0</v>
      </c>
      <c r="J791">
        <f t="shared" si="25"/>
        <v>2</v>
      </c>
      <c r="K791" t="str">
        <f t="shared" si="26"/>
        <v>Low Risk</v>
      </c>
    </row>
    <row r="792" spans="1:11" x14ac:dyDescent="0.35">
      <c r="A792">
        <f>Raw_Data!A792</f>
        <v>791</v>
      </c>
      <c r="B792">
        <f>Raw_Data!B792</f>
        <v>30</v>
      </c>
      <c r="C792">
        <f>Raw_Data!D792</f>
        <v>16</v>
      </c>
      <c r="D792">
        <f>Raw_Data!F792</f>
        <v>2</v>
      </c>
      <c r="E792">
        <f>Raw_Data!H792</f>
        <v>1</v>
      </c>
      <c r="F792">
        <f>Raw_Data!G792</f>
        <v>1</v>
      </c>
      <c r="G792">
        <f>Raw_Data!E792</f>
        <v>48008.39</v>
      </c>
      <c r="H792">
        <f>Raw_Data!I792</f>
        <v>141029.82</v>
      </c>
      <c r="I792">
        <f>Raw_Data!J792</f>
        <v>0</v>
      </c>
      <c r="J792">
        <f t="shared" si="25"/>
        <v>1</v>
      </c>
      <c r="K792" t="str">
        <f t="shared" si="26"/>
        <v>Low Risk</v>
      </c>
    </row>
    <row r="793" spans="1:11" x14ac:dyDescent="0.35">
      <c r="A793">
        <f>Raw_Data!A793</f>
        <v>792</v>
      </c>
      <c r="B793">
        <f>Raw_Data!B793</f>
        <v>63</v>
      </c>
      <c r="C793">
        <f>Raw_Data!D793</f>
        <v>32</v>
      </c>
      <c r="D793">
        <f>Raw_Data!F793</f>
        <v>2</v>
      </c>
      <c r="E793">
        <f>Raw_Data!H793</f>
        <v>1</v>
      </c>
      <c r="F793">
        <f>Raw_Data!G793</f>
        <v>1</v>
      </c>
      <c r="G793">
        <f>Raw_Data!E793</f>
        <v>38178.949999999997</v>
      </c>
      <c r="H793">
        <f>Raw_Data!I793</f>
        <v>26565.96</v>
      </c>
      <c r="I793">
        <f>Raw_Data!J793</f>
        <v>0</v>
      </c>
      <c r="J793">
        <f t="shared" si="25"/>
        <v>1</v>
      </c>
      <c r="K793" t="str">
        <f t="shared" si="26"/>
        <v>Low Risk</v>
      </c>
    </row>
    <row r="794" spans="1:11" x14ac:dyDescent="0.35">
      <c r="A794">
        <f>Raw_Data!A794</f>
        <v>793</v>
      </c>
      <c r="B794">
        <f>Raw_Data!B794</f>
        <v>52</v>
      </c>
      <c r="C794">
        <f>Raw_Data!D794</f>
        <v>32</v>
      </c>
      <c r="D794">
        <f>Raw_Data!F794</f>
        <v>3</v>
      </c>
      <c r="E794">
        <f>Raw_Data!H794</f>
        <v>0</v>
      </c>
      <c r="F794">
        <f>Raw_Data!G794</f>
        <v>0</v>
      </c>
      <c r="G794">
        <f>Raw_Data!E794</f>
        <v>42760.35</v>
      </c>
      <c r="H794">
        <f>Raw_Data!I794</f>
        <v>91149.62</v>
      </c>
      <c r="I794">
        <f>Raw_Data!J794</f>
        <v>0</v>
      </c>
      <c r="J794">
        <f t="shared" si="25"/>
        <v>3</v>
      </c>
      <c r="K794" t="str">
        <f t="shared" si="26"/>
        <v>Medium Risk</v>
      </c>
    </row>
    <row r="795" spans="1:11" x14ac:dyDescent="0.35">
      <c r="A795">
        <f>Raw_Data!A795</f>
        <v>794</v>
      </c>
      <c r="B795">
        <f>Raw_Data!B795</f>
        <v>23</v>
      </c>
      <c r="C795">
        <f>Raw_Data!D795</f>
        <v>11</v>
      </c>
      <c r="D795">
        <f>Raw_Data!F795</f>
        <v>2</v>
      </c>
      <c r="E795">
        <f>Raw_Data!H795</f>
        <v>1</v>
      </c>
      <c r="F795">
        <f>Raw_Data!G795</f>
        <v>1</v>
      </c>
      <c r="G795">
        <f>Raw_Data!E795</f>
        <v>30153.22</v>
      </c>
      <c r="H795">
        <f>Raw_Data!I795</f>
        <v>135757.32</v>
      </c>
      <c r="I795">
        <f>Raw_Data!J795</f>
        <v>0</v>
      </c>
      <c r="J795">
        <f t="shared" si="25"/>
        <v>2</v>
      </c>
      <c r="K795" t="str">
        <f t="shared" si="26"/>
        <v>Low Risk</v>
      </c>
    </row>
    <row r="796" spans="1:11" x14ac:dyDescent="0.35">
      <c r="A796">
        <f>Raw_Data!A796</f>
        <v>795</v>
      </c>
      <c r="B796">
        <f>Raw_Data!B796</f>
        <v>35</v>
      </c>
      <c r="C796">
        <f>Raw_Data!D796</f>
        <v>10</v>
      </c>
      <c r="D796">
        <f>Raw_Data!F796</f>
        <v>4</v>
      </c>
      <c r="E796">
        <f>Raw_Data!H796</f>
        <v>1</v>
      </c>
      <c r="F796">
        <f>Raw_Data!G796</f>
        <v>0</v>
      </c>
      <c r="G796">
        <f>Raw_Data!E796</f>
        <v>41770.39</v>
      </c>
      <c r="H796">
        <f>Raw_Data!I796</f>
        <v>54153.72</v>
      </c>
      <c r="I796">
        <f>Raw_Data!J796</f>
        <v>0</v>
      </c>
      <c r="J796">
        <f t="shared" si="25"/>
        <v>5</v>
      </c>
      <c r="K796" t="str">
        <f t="shared" si="26"/>
        <v>High Risk</v>
      </c>
    </row>
    <row r="797" spans="1:11" x14ac:dyDescent="0.35">
      <c r="A797">
        <f>Raw_Data!A797</f>
        <v>796</v>
      </c>
      <c r="B797">
        <f>Raw_Data!B797</f>
        <v>68</v>
      </c>
      <c r="C797">
        <f>Raw_Data!D797</f>
        <v>15</v>
      </c>
      <c r="D797">
        <f>Raw_Data!F797</f>
        <v>2</v>
      </c>
      <c r="E797">
        <f>Raw_Data!H797</f>
        <v>0</v>
      </c>
      <c r="F797">
        <f>Raw_Data!G797</f>
        <v>1</v>
      </c>
      <c r="G797">
        <f>Raw_Data!E797</f>
        <v>39221.040000000001</v>
      </c>
      <c r="H797">
        <f>Raw_Data!I797</f>
        <v>81392.3</v>
      </c>
      <c r="I797">
        <f>Raw_Data!J797</f>
        <v>0</v>
      </c>
      <c r="J797">
        <f t="shared" si="25"/>
        <v>3</v>
      </c>
      <c r="K797" t="str">
        <f t="shared" si="26"/>
        <v>Medium Risk</v>
      </c>
    </row>
    <row r="798" spans="1:11" x14ac:dyDescent="0.35">
      <c r="A798">
        <f>Raw_Data!A798</f>
        <v>797</v>
      </c>
      <c r="B798">
        <f>Raw_Data!B798</f>
        <v>22</v>
      </c>
      <c r="C798">
        <f>Raw_Data!D798</f>
        <v>17</v>
      </c>
      <c r="D798">
        <f>Raw_Data!F798</f>
        <v>1</v>
      </c>
      <c r="E798">
        <f>Raw_Data!H798</f>
        <v>1</v>
      </c>
      <c r="F798">
        <f>Raw_Data!G798</f>
        <v>1</v>
      </c>
      <c r="G798">
        <f>Raw_Data!E798</f>
        <v>18849.28</v>
      </c>
      <c r="H798">
        <f>Raw_Data!I798</f>
        <v>62162.75</v>
      </c>
      <c r="I798">
        <f>Raw_Data!J798</f>
        <v>0</v>
      </c>
      <c r="J798">
        <f t="shared" si="25"/>
        <v>0</v>
      </c>
      <c r="K798" t="str">
        <f t="shared" si="26"/>
        <v>Low Risk</v>
      </c>
    </row>
    <row r="799" spans="1:11" x14ac:dyDescent="0.35">
      <c r="A799">
        <f>Raw_Data!A799</f>
        <v>798</v>
      </c>
      <c r="B799">
        <f>Raw_Data!B799</f>
        <v>64</v>
      </c>
      <c r="C799">
        <f>Raw_Data!D799</f>
        <v>40</v>
      </c>
      <c r="D799">
        <f>Raw_Data!F799</f>
        <v>4</v>
      </c>
      <c r="E799">
        <f>Raw_Data!H799</f>
        <v>1</v>
      </c>
      <c r="F799">
        <f>Raw_Data!G799</f>
        <v>1</v>
      </c>
      <c r="G799">
        <f>Raw_Data!E799</f>
        <v>27599.52</v>
      </c>
      <c r="H799">
        <f>Raw_Data!I799</f>
        <v>143778.71</v>
      </c>
      <c r="I799">
        <f>Raw_Data!J799</f>
        <v>0</v>
      </c>
      <c r="J799">
        <f t="shared" si="25"/>
        <v>3</v>
      </c>
      <c r="K799" t="str">
        <f t="shared" si="26"/>
        <v>Medium Risk</v>
      </c>
    </row>
    <row r="800" spans="1:11" x14ac:dyDescent="0.35">
      <c r="A800">
        <f>Raw_Data!A800</f>
        <v>799</v>
      </c>
      <c r="B800">
        <f>Raw_Data!B800</f>
        <v>42</v>
      </c>
      <c r="C800">
        <f>Raw_Data!D800</f>
        <v>18</v>
      </c>
      <c r="D800">
        <f>Raw_Data!F800</f>
        <v>4</v>
      </c>
      <c r="E800">
        <f>Raw_Data!H800</f>
        <v>1</v>
      </c>
      <c r="F800">
        <f>Raw_Data!G800</f>
        <v>0</v>
      </c>
      <c r="G800">
        <f>Raw_Data!E800</f>
        <v>40237.660000000003</v>
      </c>
      <c r="H800">
        <f>Raw_Data!I800</f>
        <v>127073.93</v>
      </c>
      <c r="I800">
        <f>Raw_Data!J800</f>
        <v>0</v>
      </c>
      <c r="J800">
        <f t="shared" si="25"/>
        <v>3</v>
      </c>
      <c r="K800" t="str">
        <f t="shared" si="26"/>
        <v>Medium Risk</v>
      </c>
    </row>
    <row r="801" spans="1:11" x14ac:dyDescent="0.35">
      <c r="A801">
        <f>Raw_Data!A801</f>
        <v>800</v>
      </c>
      <c r="B801">
        <f>Raw_Data!B801</f>
        <v>19</v>
      </c>
      <c r="C801">
        <f>Raw_Data!D801</f>
        <v>55</v>
      </c>
      <c r="D801">
        <f>Raw_Data!F801</f>
        <v>4</v>
      </c>
      <c r="E801">
        <f>Raw_Data!H801</f>
        <v>1</v>
      </c>
      <c r="F801">
        <f>Raw_Data!G801</f>
        <v>0</v>
      </c>
      <c r="G801">
        <f>Raw_Data!E801</f>
        <v>2302.84</v>
      </c>
      <c r="H801">
        <f>Raw_Data!I801</f>
        <v>112170.2</v>
      </c>
      <c r="I801">
        <f>Raw_Data!J801</f>
        <v>0</v>
      </c>
      <c r="J801">
        <f t="shared" si="25"/>
        <v>2</v>
      </c>
      <c r="K801" t="str">
        <f t="shared" si="26"/>
        <v>Low Risk</v>
      </c>
    </row>
    <row r="802" spans="1:11" x14ac:dyDescent="0.35">
      <c r="A802">
        <f>Raw_Data!A802</f>
        <v>801</v>
      </c>
      <c r="B802">
        <f>Raw_Data!B802</f>
        <v>27</v>
      </c>
      <c r="C802">
        <f>Raw_Data!D802</f>
        <v>25</v>
      </c>
      <c r="D802">
        <f>Raw_Data!F802</f>
        <v>3</v>
      </c>
      <c r="E802">
        <f>Raw_Data!H802</f>
        <v>1</v>
      </c>
      <c r="F802">
        <f>Raw_Data!G802</f>
        <v>0</v>
      </c>
      <c r="G802">
        <f>Raw_Data!E802</f>
        <v>40403.96</v>
      </c>
      <c r="H802">
        <f>Raw_Data!I802</f>
        <v>96391.51</v>
      </c>
      <c r="I802">
        <f>Raw_Data!J802</f>
        <v>0</v>
      </c>
      <c r="J802">
        <f t="shared" si="25"/>
        <v>1</v>
      </c>
      <c r="K802" t="str">
        <f t="shared" si="26"/>
        <v>Low Risk</v>
      </c>
    </row>
    <row r="803" spans="1:11" x14ac:dyDescent="0.35">
      <c r="A803">
        <f>Raw_Data!A803</f>
        <v>802</v>
      </c>
      <c r="B803">
        <f>Raw_Data!B803</f>
        <v>47</v>
      </c>
      <c r="C803">
        <f>Raw_Data!D803</f>
        <v>59</v>
      </c>
      <c r="D803">
        <f>Raw_Data!F803</f>
        <v>3</v>
      </c>
      <c r="E803">
        <f>Raw_Data!H803</f>
        <v>1</v>
      </c>
      <c r="F803">
        <f>Raw_Data!G803</f>
        <v>0</v>
      </c>
      <c r="G803">
        <f>Raw_Data!E803</f>
        <v>8894.41</v>
      </c>
      <c r="H803">
        <f>Raw_Data!I803</f>
        <v>126676.93</v>
      </c>
      <c r="I803">
        <f>Raw_Data!J803</f>
        <v>0</v>
      </c>
      <c r="J803">
        <f t="shared" si="25"/>
        <v>0</v>
      </c>
      <c r="K803" t="str">
        <f t="shared" si="26"/>
        <v>Low Risk</v>
      </c>
    </row>
    <row r="804" spans="1:11" x14ac:dyDescent="0.35">
      <c r="A804">
        <f>Raw_Data!A804</f>
        <v>803</v>
      </c>
      <c r="B804">
        <f>Raw_Data!B804</f>
        <v>67</v>
      </c>
      <c r="C804">
        <f>Raw_Data!D804</f>
        <v>22</v>
      </c>
      <c r="D804">
        <f>Raw_Data!F804</f>
        <v>4</v>
      </c>
      <c r="E804">
        <f>Raw_Data!H804</f>
        <v>0</v>
      </c>
      <c r="F804">
        <f>Raw_Data!G804</f>
        <v>1</v>
      </c>
      <c r="G804">
        <f>Raw_Data!E804</f>
        <v>25734.18</v>
      </c>
      <c r="H804">
        <f>Raw_Data!I804</f>
        <v>70994.720000000001</v>
      </c>
      <c r="I804">
        <f>Raw_Data!J804</f>
        <v>0</v>
      </c>
      <c r="J804">
        <f t="shared" si="25"/>
        <v>5</v>
      </c>
      <c r="K804" t="str">
        <f t="shared" si="26"/>
        <v>High Risk</v>
      </c>
    </row>
    <row r="805" spans="1:11" x14ac:dyDescent="0.35">
      <c r="A805">
        <f>Raw_Data!A805</f>
        <v>804</v>
      </c>
      <c r="B805">
        <f>Raw_Data!B805</f>
        <v>62</v>
      </c>
      <c r="C805">
        <f>Raw_Data!D805</f>
        <v>30</v>
      </c>
      <c r="D805">
        <f>Raw_Data!F805</f>
        <v>3</v>
      </c>
      <c r="E805">
        <f>Raw_Data!H805</f>
        <v>1</v>
      </c>
      <c r="F805">
        <f>Raw_Data!G805</f>
        <v>0</v>
      </c>
      <c r="G805">
        <f>Raw_Data!E805</f>
        <v>40413.769999999997</v>
      </c>
      <c r="H805">
        <f>Raw_Data!I805</f>
        <v>78181.740000000005</v>
      </c>
      <c r="I805">
        <f>Raw_Data!J805</f>
        <v>0</v>
      </c>
      <c r="J805">
        <f t="shared" si="25"/>
        <v>2</v>
      </c>
      <c r="K805" t="str">
        <f t="shared" si="26"/>
        <v>Low Risk</v>
      </c>
    </row>
    <row r="806" spans="1:11" x14ac:dyDescent="0.35">
      <c r="A806">
        <f>Raw_Data!A806</f>
        <v>805</v>
      </c>
      <c r="B806">
        <f>Raw_Data!B806</f>
        <v>22</v>
      </c>
      <c r="C806">
        <f>Raw_Data!D806</f>
        <v>44</v>
      </c>
      <c r="D806">
        <f>Raw_Data!F806</f>
        <v>2</v>
      </c>
      <c r="E806">
        <f>Raw_Data!H806</f>
        <v>0</v>
      </c>
      <c r="F806">
        <f>Raw_Data!G806</f>
        <v>0</v>
      </c>
      <c r="G806">
        <f>Raw_Data!E806</f>
        <v>12691.05</v>
      </c>
      <c r="H806">
        <f>Raw_Data!I806</f>
        <v>114900.22</v>
      </c>
      <c r="I806">
        <f>Raw_Data!J806</f>
        <v>0</v>
      </c>
      <c r="J806">
        <f t="shared" si="25"/>
        <v>2</v>
      </c>
      <c r="K806" t="str">
        <f t="shared" si="26"/>
        <v>Low Risk</v>
      </c>
    </row>
    <row r="807" spans="1:11" x14ac:dyDescent="0.35">
      <c r="A807">
        <f>Raw_Data!A807</f>
        <v>806</v>
      </c>
      <c r="B807">
        <f>Raw_Data!B807</f>
        <v>50</v>
      </c>
      <c r="C807">
        <f>Raw_Data!D807</f>
        <v>32</v>
      </c>
      <c r="D807">
        <f>Raw_Data!F807</f>
        <v>3</v>
      </c>
      <c r="E807">
        <f>Raw_Data!H807</f>
        <v>0</v>
      </c>
      <c r="F807">
        <f>Raw_Data!G807</f>
        <v>1</v>
      </c>
      <c r="G807">
        <f>Raw_Data!E807</f>
        <v>12290.37</v>
      </c>
      <c r="H807">
        <f>Raw_Data!I807</f>
        <v>66508.12</v>
      </c>
      <c r="I807">
        <f>Raw_Data!J807</f>
        <v>0</v>
      </c>
      <c r="J807">
        <f t="shared" si="25"/>
        <v>2</v>
      </c>
      <c r="K807" t="str">
        <f t="shared" si="26"/>
        <v>Low Risk</v>
      </c>
    </row>
    <row r="808" spans="1:11" x14ac:dyDescent="0.35">
      <c r="A808">
        <f>Raw_Data!A808</f>
        <v>807</v>
      </c>
      <c r="B808">
        <f>Raw_Data!B808</f>
        <v>18</v>
      </c>
      <c r="C808">
        <f>Raw_Data!D808</f>
        <v>51</v>
      </c>
      <c r="D808">
        <f>Raw_Data!F808</f>
        <v>3</v>
      </c>
      <c r="E808">
        <f>Raw_Data!H808</f>
        <v>0</v>
      </c>
      <c r="F808">
        <f>Raw_Data!G808</f>
        <v>1</v>
      </c>
      <c r="G808">
        <f>Raw_Data!E808</f>
        <v>20138.22</v>
      </c>
      <c r="H808">
        <f>Raw_Data!I808</f>
        <v>28307.119999999999</v>
      </c>
      <c r="I808">
        <f>Raw_Data!J808</f>
        <v>0</v>
      </c>
      <c r="J808">
        <f t="shared" si="25"/>
        <v>2</v>
      </c>
      <c r="K808" t="str">
        <f t="shared" si="26"/>
        <v>Low Risk</v>
      </c>
    </row>
    <row r="809" spans="1:11" x14ac:dyDescent="0.35">
      <c r="A809">
        <f>Raw_Data!A809</f>
        <v>808</v>
      </c>
      <c r="B809">
        <f>Raw_Data!B809</f>
        <v>35</v>
      </c>
      <c r="C809">
        <f>Raw_Data!D809</f>
        <v>46</v>
      </c>
      <c r="D809">
        <f>Raw_Data!F809</f>
        <v>4</v>
      </c>
      <c r="E809">
        <f>Raw_Data!H809</f>
        <v>0</v>
      </c>
      <c r="F809">
        <f>Raw_Data!G809</f>
        <v>0</v>
      </c>
      <c r="G809">
        <f>Raw_Data!E809</f>
        <v>44732.14</v>
      </c>
      <c r="H809">
        <f>Raw_Data!I809</f>
        <v>29663.5</v>
      </c>
      <c r="I809">
        <f>Raw_Data!J809</f>
        <v>0</v>
      </c>
      <c r="J809">
        <f t="shared" si="25"/>
        <v>5</v>
      </c>
      <c r="K809" t="str">
        <f t="shared" si="26"/>
        <v>High Risk</v>
      </c>
    </row>
    <row r="810" spans="1:11" x14ac:dyDescent="0.35">
      <c r="A810">
        <f>Raw_Data!A810</f>
        <v>809</v>
      </c>
      <c r="B810">
        <f>Raw_Data!B810</f>
        <v>49</v>
      </c>
      <c r="C810">
        <f>Raw_Data!D810</f>
        <v>21</v>
      </c>
      <c r="D810">
        <f>Raw_Data!F810</f>
        <v>1</v>
      </c>
      <c r="E810">
        <f>Raw_Data!H810</f>
        <v>1</v>
      </c>
      <c r="F810">
        <f>Raw_Data!G810</f>
        <v>1</v>
      </c>
      <c r="G810">
        <f>Raw_Data!E810</f>
        <v>22.14</v>
      </c>
      <c r="H810">
        <f>Raw_Data!I810</f>
        <v>34997.160000000003</v>
      </c>
      <c r="I810">
        <f>Raw_Data!J810</f>
        <v>0</v>
      </c>
      <c r="J810">
        <f t="shared" si="25"/>
        <v>0</v>
      </c>
      <c r="K810" t="str">
        <f t="shared" si="26"/>
        <v>Low Risk</v>
      </c>
    </row>
    <row r="811" spans="1:11" x14ac:dyDescent="0.35">
      <c r="A811">
        <f>Raw_Data!A811</f>
        <v>810</v>
      </c>
      <c r="B811">
        <f>Raw_Data!B811</f>
        <v>64</v>
      </c>
      <c r="C811">
        <f>Raw_Data!D811</f>
        <v>32</v>
      </c>
      <c r="D811">
        <f>Raw_Data!F811</f>
        <v>1</v>
      </c>
      <c r="E811">
        <f>Raw_Data!H811</f>
        <v>1</v>
      </c>
      <c r="F811">
        <f>Raw_Data!G811</f>
        <v>0</v>
      </c>
      <c r="G811">
        <f>Raw_Data!E811</f>
        <v>45069.15</v>
      </c>
      <c r="H811">
        <f>Raw_Data!I811</f>
        <v>133058.57</v>
      </c>
      <c r="I811">
        <f>Raw_Data!J811</f>
        <v>0</v>
      </c>
      <c r="J811">
        <f t="shared" si="25"/>
        <v>2</v>
      </c>
      <c r="K811" t="str">
        <f t="shared" si="26"/>
        <v>Low Risk</v>
      </c>
    </row>
    <row r="812" spans="1:11" x14ac:dyDescent="0.35">
      <c r="A812">
        <f>Raw_Data!A812</f>
        <v>811</v>
      </c>
      <c r="B812">
        <f>Raw_Data!B812</f>
        <v>66</v>
      </c>
      <c r="C812">
        <f>Raw_Data!D812</f>
        <v>39</v>
      </c>
      <c r="D812">
        <f>Raw_Data!F812</f>
        <v>1</v>
      </c>
      <c r="E812">
        <f>Raw_Data!H812</f>
        <v>1</v>
      </c>
      <c r="F812">
        <f>Raw_Data!G812</f>
        <v>1</v>
      </c>
      <c r="G812">
        <f>Raw_Data!E812</f>
        <v>7690.35</v>
      </c>
      <c r="H812">
        <f>Raw_Data!I812</f>
        <v>81389.440000000002</v>
      </c>
      <c r="I812">
        <f>Raw_Data!J812</f>
        <v>0</v>
      </c>
      <c r="J812">
        <f t="shared" si="25"/>
        <v>1</v>
      </c>
      <c r="K812" t="str">
        <f t="shared" si="26"/>
        <v>Low Risk</v>
      </c>
    </row>
    <row r="813" spans="1:11" x14ac:dyDescent="0.35">
      <c r="A813">
        <f>Raw_Data!A813</f>
        <v>812</v>
      </c>
      <c r="B813">
        <f>Raw_Data!B813</f>
        <v>28</v>
      </c>
      <c r="C813">
        <f>Raw_Data!D813</f>
        <v>12</v>
      </c>
      <c r="D813">
        <f>Raw_Data!F813</f>
        <v>2</v>
      </c>
      <c r="E813">
        <f>Raw_Data!H813</f>
        <v>0</v>
      </c>
      <c r="F813">
        <f>Raw_Data!G813</f>
        <v>0</v>
      </c>
      <c r="G813">
        <f>Raw_Data!E813</f>
        <v>49504.32</v>
      </c>
      <c r="H813">
        <f>Raw_Data!I813</f>
        <v>112674.71</v>
      </c>
      <c r="I813">
        <f>Raw_Data!J813</f>
        <v>0</v>
      </c>
      <c r="J813">
        <f t="shared" si="25"/>
        <v>5</v>
      </c>
      <c r="K813" t="str">
        <f t="shared" si="26"/>
        <v>High Risk</v>
      </c>
    </row>
    <row r="814" spans="1:11" x14ac:dyDescent="0.35">
      <c r="A814">
        <f>Raw_Data!A814</f>
        <v>813</v>
      </c>
      <c r="B814">
        <f>Raw_Data!B814</f>
        <v>38</v>
      </c>
      <c r="C814">
        <f>Raw_Data!D814</f>
        <v>47</v>
      </c>
      <c r="D814">
        <f>Raw_Data!F814</f>
        <v>3</v>
      </c>
      <c r="E814">
        <f>Raw_Data!H814</f>
        <v>1</v>
      </c>
      <c r="F814">
        <f>Raw_Data!G814</f>
        <v>0</v>
      </c>
      <c r="G814">
        <f>Raw_Data!E814</f>
        <v>47742.35</v>
      </c>
      <c r="H814">
        <f>Raw_Data!I814</f>
        <v>71078.210000000006</v>
      </c>
      <c r="I814">
        <f>Raw_Data!J814</f>
        <v>0</v>
      </c>
      <c r="J814">
        <f t="shared" si="25"/>
        <v>1</v>
      </c>
      <c r="K814" t="str">
        <f t="shared" si="26"/>
        <v>Low Risk</v>
      </c>
    </row>
    <row r="815" spans="1:11" x14ac:dyDescent="0.35">
      <c r="A815">
        <f>Raw_Data!A815</f>
        <v>814</v>
      </c>
      <c r="B815">
        <f>Raw_Data!B815</f>
        <v>43</v>
      </c>
      <c r="C815">
        <f>Raw_Data!D815</f>
        <v>18</v>
      </c>
      <c r="D815">
        <f>Raw_Data!F815</f>
        <v>1</v>
      </c>
      <c r="E815">
        <f>Raw_Data!H815</f>
        <v>1</v>
      </c>
      <c r="F815">
        <f>Raw_Data!G815</f>
        <v>0</v>
      </c>
      <c r="G815">
        <f>Raw_Data!E815</f>
        <v>24733.759999999998</v>
      </c>
      <c r="H815">
        <f>Raw_Data!I815</f>
        <v>53632.42</v>
      </c>
      <c r="I815">
        <f>Raw_Data!J815</f>
        <v>0</v>
      </c>
      <c r="J815">
        <f t="shared" si="25"/>
        <v>0</v>
      </c>
      <c r="K815" t="str">
        <f t="shared" si="26"/>
        <v>Low Risk</v>
      </c>
    </row>
    <row r="816" spans="1:11" x14ac:dyDescent="0.35">
      <c r="A816">
        <f>Raw_Data!A816</f>
        <v>815</v>
      </c>
      <c r="B816">
        <f>Raw_Data!B816</f>
        <v>42</v>
      </c>
      <c r="C816">
        <f>Raw_Data!D816</f>
        <v>21</v>
      </c>
      <c r="D816">
        <f>Raw_Data!F816</f>
        <v>4</v>
      </c>
      <c r="E816">
        <f>Raw_Data!H816</f>
        <v>1</v>
      </c>
      <c r="F816">
        <f>Raw_Data!G816</f>
        <v>0</v>
      </c>
      <c r="G816">
        <f>Raw_Data!E816</f>
        <v>25636.01</v>
      </c>
      <c r="H816">
        <f>Raw_Data!I816</f>
        <v>65134.98</v>
      </c>
      <c r="I816">
        <f>Raw_Data!J816</f>
        <v>0</v>
      </c>
      <c r="J816">
        <f t="shared" si="25"/>
        <v>2</v>
      </c>
      <c r="K816" t="str">
        <f t="shared" si="26"/>
        <v>Low Risk</v>
      </c>
    </row>
    <row r="817" spans="1:11" x14ac:dyDescent="0.35">
      <c r="A817">
        <f>Raw_Data!A817</f>
        <v>816</v>
      </c>
      <c r="B817">
        <f>Raw_Data!B817</f>
        <v>39</v>
      </c>
      <c r="C817">
        <f>Raw_Data!D817</f>
        <v>13</v>
      </c>
      <c r="D817">
        <f>Raw_Data!F817</f>
        <v>1</v>
      </c>
      <c r="E817">
        <f>Raw_Data!H817</f>
        <v>0</v>
      </c>
      <c r="F817">
        <f>Raw_Data!G817</f>
        <v>0</v>
      </c>
      <c r="G817">
        <f>Raw_Data!E817</f>
        <v>24077.47</v>
      </c>
      <c r="H817">
        <f>Raw_Data!I817</f>
        <v>123243.7</v>
      </c>
      <c r="I817">
        <f>Raw_Data!J817</f>
        <v>0</v>
      </c>
      <c r="J817">
        <f t="shared" si="25"/>
        <v>2</v>
      </c>
      <c r="K817" t="str">
        <f t="shared" si="26"/>
        <v>Low Risk</v>
      </c>
    </row>
    <row r="818" spans="1:11" x14ac:dyDescent="0.35">
      <c r="A818">
        <f>Raw_Data!A818</f>
        <v>817</v>
      </c>
      <c r="B818">
        <f>Raw_Data!B818</f>
        <v>44</v>
      </c>
      <c r="C818">
        <f>Raw_Data!D818</f>
        <v>21</v>
      </c>
      <c r="D818">
        <f>Raw_Data!F818</f>
        <v>1</v>
      </c>
      <c r="E818">
        <f>Raw_Data!H818</f>
        <v>0</v>
      </c>
      <c r="F818">
        <f>Raw_Data!G818</f>
        <v>1</v>
      </c>
      <c r="G818">
        <f>Raw_Data!E818</f>
        <v>31772.18</v>
      </c>
      <c r="H818">
        <f>Raw_Data!I818</f>
        <v>101278.1</v>
      </c>
      <c r="I818">
        <f>Raw_Data!J818</f>
        <v>0</v>
      </c>
      <c r="J818">
        <f t="shared" si="25"/>
        <v>2</v>
      </c>
      <c r="K818" t="str">
        <f t="shared" si="26"/>
        <v>Low Risk</v>
      </c>
    </row>
    <row r="819" spans="1:11" x14ac:dyDescent="0.35">
      <c r="A819">
        <f>Raw_Data!A819</f>
        <v>818</v>
      </c>
      <c r="B819">
        <f>Raw_Data!B819</f>
        <v>66</v>
      </c>
      <c r="C819">
        <f>Raw_Data!D819</f>
        <v>8</v>
      </c>
      <c r="D819">
        <f>Raw_Data!F819</f>
        <v>3</v>
      </c>
      <c r="E819">
        <f>Raw_Data!H819</f>
        <v>1</v>
      </c>
      <c r="F819">
        <f>Raw_Data!G819</f>
        <v>0</v>
      </c>
      <c r="G819">
        <f>Raw_Data!E819</f>
        <v>4536.09</v>
      </c>
      <c r="H819">
        <f>Raw_Data!I819</f>
        <v>141893.17000000001</v>
      </c>
      <c r="I819">
        <f>Raw_Data!J819</f>
        <v>0</v>
      </c>
      <c r="J819">
        <f t="shared" si="25"/>
        <v>3</v>
      </c>
      <c r="K819" t="str">
        <f t="shared" si="26"/>
        <v>Medium Risk</v>
      </c>
    </row>
    <row r="820" spans="1:11" x14ac:dyDescent="0.35">
      <c r="A820">
        <f>Raw_Data!A820</f>
        <v>819</v>
      </c>
      <c r="B820">
        <f>Raw_Data!B820</f>
        <v>30</v>
      </c>
      <c r="C820">
        <f>Raw_Data!D820</f>
        <v>46</v>
      </c>
      <c r="D820">
        <f>Raw_Data!F820</f>
        <v>3</v>
      </c>
      <c r="E820">
        <f>Raw_Data!H820</f>
        <v>0</v>
      </c>
      <c r="F820">
        <f>Raw_Data!G820</f>
        <v>0</v>
      </c>
      <c r="G820">
        <f>Raw_Data!E820</f>
        <v>1630.9</v>
      </c>
      <c r="H820">
        <f>Raw_Data!I820</f>
        <v>108361.62</v>
      </c>
      <c r="I820">
        <f>Raw_Data!J820</f>
        <v>0</v>
      </c>
      <c r="J820">
        <f t="shared" si="25"/>
        <v>2</v>
      </c>
      <c r="K820" t="str">
        <f t="shared" si="26"/>
        <v>Low Risk</v>
      </c>
    </row>
    <row r="821" spans="1:11" x14ac:dyDescent="0.35">
      <c r="A821">
        <f>Raw_Data!A821</f>
        <v>820</v>
      </c>
      <c r="B821">
        <f>Raw_Data!B821</f>
        <v>50</v>
      </c>
      <c r="C821">
        <f>Raw_Data!D821</f>
        <v>7</v>
      </c>
      <c r="D821">
        <f>Raw_Data!F821</f>
        <v>3</v>
      </c>
      <c r="E821">
        <f>Raw_Data!H821</f>
        <v>0</v>
      </c>
      <c r="F821">
        <f>Raw_Data!G821</f>
        <v>0</v>
      </c>
      <c r="G821">
        <f>Raw_Data!E821</f>
        <v>2885.15</v>
      </c>
      <c r="H821">
        <f>Raw_Data!I821</f>
        <v>94123.61</v>
      </c>
      <c r="I821">
        <f>Raw_Data!J821</f>
        <v>1</v>
      </c>
      <c r="J821">
        <f t="shared" si="25"/>
        <v>4</v>
      </c>
      <c r="K821" t="str">
        <f t="shared" si="26"/>
        <v>Medium Risk</v>
      </c>
    </row>
    <row r="822" spans="1:11" x14ac:dyDescent="0.35">
      <c r="A822">
        <f>Raw_Data!A822</f>
        <v>821</v>
      </c>
      <c r="B822">
        <f>Raw_Data!B822</f>
        <v>51</v>
      </c>
      <c r="C822">
        <f>Raw_Data!D822</f>
        <v>23</v>
      </c>
      <c r="D822">
        <f>Raw_Data!F822</f>
        <v>2</v>
      </c>
      <c r="E822">
        <f>Raw_Data!H822</f>
        <v>1</v>
      </c>
      <c r="F822">
        <f>Raw_Data!G822</f>
        <v>0</v>
      </c>
      <c r="G822">
        <f>Raw_Data!E822</f>
        <v>22218.27</v>
      </c>
      <c r="H822">
        <f>Raw_Data!I822</f>
        <v>99325.48</v>
      </c>
      <c r="I822">
        <f>Raw_Data!J822</f>
        <v>0</v>
      </c>
      <c r="J822">
        <f t="shared" si="25"/>
        <v>0</v>
      </c>
      <c r="K822" t="str">
        <f t="shared" si="26"/>
        <v>Low Risk</v>
      </c>
    </row>
    <row r="823" spans="1:11" x14ac:dyDescent="0.35">
      <c r="A823">
        <f>Raw_Data!A823</f>
        <v>822</v>
      </c>
      <c r="B823">
        <f>Raw_Data!B823</f>
        <v>58</v>
      </c>
      <c r="C823">
        <f>Raw_Data!D823</f>
        <v>22</v>
      </c>
      <c r="D823">
        <f>Raw_Data!F823</f>
        <v>2</v>
      </c>
      <c r="E823">
        <f>Raw_Data!H823</f>
        <v>0</v>
      </c>
      <c r="F823">
        <f>Raw_Data!G823</f>
        <v>0</v>
      </c>
      <c r="G823">
        <f>Raw_Data!E823</f>
        <v>13777.4</v>
      </c>
      <c r="H823">
        <f>Raw_Data!I823</f>
        <v>142508.29</v>
      </c>
      <c r="I823">
        <f>Raw_Data!J823</f>
        <v>0</v>
      </c>
      <c r="J823">
        <f t="shared" si="25"/>
        <v>3</v>
      </c>
      <c r="K823" t="str">
        <f t="shared" si="26"/>
        <v>Medium Risk</v>
      </c>
    </row>
    <row r="824" spans="1:11" x14ac:dyDescent="0.35">
      <c r="A824">
        <f>Raw_Data!A824</f>
        <v>823</v>
      </c>
      <c r="B824">
        <f>Raw_Data!B824</f>
        <v>52</v>
      </c>
      <c r="C824">
        <f>Raw_Data!D824</f>
        <v>22</v>
      </c>
      <c r="D824">
        <f>Raw_Data!F824</f>
        <v>1</v>
      </c>
      <c r="E824">
        <f>Raw_Data!H824</f>
        <v>0</v>
      </c>
      <c r="F824">
        <f>Raw_Data!G824</f>
        <v>1</v>
      </c>
      <c r="G824">
        <f>Raw_Data!E824</f>
        <v>31101.98</v>
      </c>
      <c r="H824">
        <f>Raw_Data!I824</f>
        <v>122466.12</v>
      </c>
      <c r="I824">
        <f>Raw_Data!J824</f>
        <v>0</v>
      </c>
      <c r="J824">
        <f t="shared" si="25"/>
        <v>2</v>
      </c>
      <c r="K824" t="str">
        <f t="shared" si="26"/>
        <v>Low Risk</v>
      </c>
    </row>
    <row r="825" spans="1:11" x14ac:dyDescent="0.35">
      <c r="A825">
        <f>Raw_Data!A825</f>
        <v>824</v>
      </c>
      <c r="B825">
        <f>Raw_Data!B825</f>
        <v>18</v>
      </c>
      <c r="C825">
        <f>Raw_Data!D825</f>
        <v>29</v>
      </c>
      <c r="D825">
        <f>Raw_Data!F825</f>
        <v>3</v>
      </c>
      <c r="E825">
        <f>Raw_Data!H825</f>
        <v>1</v>
      </c>
      <c r="F825">
        <f>Raw_Data!G825</f>
        <v>1</v>
      </c>
      <c r="G825">
        <f>Raw_Data!E825</f>
        <v>49622.11</v>
      </c>
      <c r="H825">
        <f>Raw_Data!I825</f>
        <v>23125.360000000001</v>
      </c>
      <c r="I825">
        <f>Raw_Data!J825</f>
        <v>0</v>
      </c>
      <c r="J825">
        <f t="shared" si="25"/>
        <v>1</v>
      </c>
      <c r="K825" t="str">
        <f t="shared" si="26"/>
        <v>Low Risk</v>
      </c>
    </row>
    <row r="826" spans="1:11" x14ac:dyDescent="0.35">
      <c r="A826">
        <f>Raw_Data!A826</f>
        <v>825</v>
      </c>
      <c r="B826">
        <f>Raw_Data!B826</f>
        <v>38</v>
      </c>
      <c r="C826">
        <f>Raw_Data!D826</f>
        <v>13</v>
      </c>
      <c r="D826">
        <f>Raw_Data!F826</f>
        <v>1</v>
      </c>
      <c r="E826">
        <f>Raw_Data!H826</f>
        <v>0</v>
      </c>
      <c r="F826">
        <f>Raw_Data!G826</f>
        <v>0</v>
      </c>
      <c r="G826">
        <f>Raw_Data!E826</f>
        <v>19316.16</v>
      </c>
      <c r="H826">
        <f>Raw_Data!I826</f>
        <v>89438.16</v>
      </c>
      <c r="I826">
        <f>Raw_Data!J826</f>
        <v>0</v>
      </c>
      <c r="J826">
        <f t="shared" si="25"/>
        <v>2</v>
      </c>
      <c r="K826" t="str">
        <f t="shared" si="26"/>
        <v>Low Risk</v>
      </c>
    </row>
    <row r="827" spans="1:11" x14ac:dyDescent="0.35">
      <c r="A827">
        <f>Raw_Data!A827</f>
        <v>826</v>
      </c>
      <c r="B827">
        <f>Raw_Data!B827</f>
        <v>65</v>
      </c>
      <c r="C827">
        <f>Raw_Data!D827</f>
        <v>2</v>
      </c>
      <c r="D827">
        <f>Raw_Data!F827</f>
        <v>4</v>
      </c>
      <c r="E827">
        <f>Raw_Data!H827</f>
        <v>0</v>
      </c>
      <c r="F827">
        <f>Raw_Data!G827</f>
        <v>1</v>
      </c>
      <c r="G827">
        <f>Raw_Data!E827</f>
        <v>28692.06</v>
      </c>
      <c r="H827">
        <f>Raw_Data!I827</f>
        <v>109483.99</v>
      </c>
      <c r="I827">
        <f>Raw_Data!J827</f>
        <v>0</v>
      </c>
      <c r="J827">
        <f t="shared" si="25"/>
        <v>7</v>
      </c>
      <c r="K827" t="str">
        <f t="shared" si="26"/>
        <v>High Risk</v>
      </c>
    </row>
    <row r="828" spans="1:11" x14ac:dyDescent="0.35">
      <c r="A828">
        <f>Raw_Data!A828</f>
        <v>827</v>
      </c>
      <c r="B828">
        <f>Raw_Data!B828</f>
        <v>23</v>
      </c>
      <c r="C828">
        <f>Raw_Data!D828</f>
        <v>29</v>
      </c>
      <c r="D828">
        <f>Raw_Data!F828</f>
        <v>4</v>
      </c>
      <c r="E828">
        <f>Raw_Data!H828</f>
        <v>0</v>
      </c>
      <c r="F828">
        <f>Raw_Data!G828</f>
        <v>0</v>
      </c>
      <c r="G828">
        <f>Raw_Data!E828</f>
        <v>20780.189999999999</v>
      </c>
      <c r="H828">
        <f>Raw_Data!I828</f>
        <v>117330.8</v>
      </c>
      <c r="I828">
        <f>Raw_Data!J828</f>
        <v>0</v>
      </c>
      <c r="J828">
        <f t="shared" si="25"/>
        <v>4</v>
      </c>
      <c r="K828" t="str">
        <f t="shared" si="26"/>
        <v>Medium Risk</v>
      </c>
    </row>
    <row r="829" spans="1:11" x14ac:dyDescent="0.35">
      <c r="A829">
        <f>Raw_Data!A829</f>
        <v>828</v>
      </c>
      <c r="B829">
        <f>Raw_Data!B829</f>
        <v>45</v>
      </c>
      <c r="C829">
        <f>Raw_Data!D829</f>
        <v>52</v>
      </c>
      <c r="D829">
        <f>Raw_Data!F829</f>
        <v>3</v>
      </c>
      <c r="E829">
        <f>Raw_Data!H829</f>
        <v>0</v>
      </c>
      <c r="F829">
        <f>Raw_Data!G829</f>
        <v>1</v>
      </c>
      <c r="G829">
        <f>Raw_Data!E829</f>
        <v>42363.58</v>
      </c>
      <c r="H829">
        <f>Raw_Data!I829</f>
        <v>47708.480000000003</v>
      </c>
      <c r="I829">
        <f>Raw_Data!J829</f>
        <v>0</v>
      </c>
      <c r="J829">
        <f t="shared" si="25"/>
        <v>3</v>
      </c>
      <c r="K829" t="str">
        <f t="shared" si="26"/>
        <v>Medium Risk</v>
      </c>
    </row>
    <row r="830" spans="1:11" x14ac:dyDescent="0.35">
      <c r="A830">
        <f>Raw_Data!A830</f>
        <v>829</v>
      </c>
      <c r="B830">
        <f>Raw_Data!B830</f>
        <v>34</v>
      </c>
      <c r="C830">
        <f>Raw_Data!D830</f>
        <v>27</v>
      </c>
      <c r="D830">
        <f>Raw_Data!F830</f>
        <v>3</v>
      </c>
      <c r="E830">
        <f>Raw_Data!H830</f>
        <v>0</v>
      </c>
      <c r="F830">
        <f>Raw_Data!G830</f>
        <v>1</v>
      </c>
      <c r="G830">
        <f>Raw_Data!E830</f>
        <v>45111.82</v>
      </c>
      <c r="H830">
        <f>Raw_Data!I830</f>
        <v>132733.06</v>
      </c>
      <c r="I830">
        <f>Raw_Data!J830</f>
        <v>0</v>
      </c>
      <c r="J830">
        <f t="shared" si="25"/>
        <v>3</v>
      </c>
      <c r="K830" t="str">
        <f t="shared" si="26"/>
        <v>Medium Risk</v>
      </c>
    </row>
    <row r="831" spans="1:11" x14ac:dyDescent="0.35">
      <c r="A831">
        <f>Raw_Data!A831</f>
        <v>830</v>
      </c>
      <c r="B831">
        <f>Raw_Data!B831</f>
        <v>22</v>
      </c>
      <c r="C831">
        <f>Raw_Data!D831</f>
        <v>50</v>
      </c>
      <c r="D831">
        <f>Raw_Data!F831</f>
        <v>4</v>
      </c>
      <c r="E831">
        <f>Raw_Data!H831</f>
        <v>0</v>
      </c>
      <c r="F831">
        <f>Raw_Data!G831</f>
        <v>0</v>
      </c>
      <c r="G831">
        <f>Raw_Data!E831</f>
        <v>43867.78</v>
      </c>
      <c r="H831">
        <f>Raw_Data!I831</f>
        <v>144259.60999999999</v>
      </c>
      <c r="I831">
        <f>Raw_Data!J831</f>
        <v>0</v>
      </c>
      <c r="J831">
        <f t="shared" si="25"/>
        <v>5</v>
      </c>
      <c r="K831" t="str">
        <f t="shared" si="26"/>
        <v>High Risk</v>
      </c>
    </row>
    <row r="832" spans="1:11" x14ac:dyDescent="0.35">
      <c r="A832">
        <f>Raw_Data!A832</f>
        <v>831</v>
      </c>
      <c r="B832">
        <f>Raw_Data!B832</f>
        <v>48</v>
      </c>
      <c r="C832">
        <f>Raw_Data!D832</f>
        <v>23</v>
      </c>
      <c r="D832">
        <f>Raw_Data!F832</f>
        <v>3</v>
      </c>
      <c r="E832">
        <f>Raw_Data!H832</f>
        <v>0</v>
      </c>
      <c r="F832">
        <f>Raw_Data!G832</f>
        <v>1</v>
      </c>
      <c r="G832">
        <f>Raw_Data!E832</f>
        <v>48718.61</v>
      </c>
      <c r="H832">
        <f>Raw_Data!I832</f>
        <v>50772.99</v>
      </c>
      <c r="I832">
        <f>Raw_Data!J832</f>
        <v>0</v>
      </c>
      <c r="J832">
        <f t="shared" si="25"/>
        <v>3</v>
      </c>
      <c r="K832" t="str">
        <f t="shared" si="26"/>
        <v>Medium Risk</v>
      </c>
    </row>
    <row r="833" spans="1:11" x14ac:dyDescent="0.35">
      <c r="A833">
        <f>Raw_Data!A833</f>
        <v>832</v>
      </c>
      <c r="B833">
        <f>Raw_Data!B833</f>
        <v>22</v>
      </c>
      <c r="C833">
        <f>Raw_Data!D833</f>
        <v>44</v>
      </c>
      <c r="D833">
        <f>Raw_Data!F833</f>
        <v>2</v>
      </c>
      <c r="E833">
        <f>Raw_Data!H833</f>
        <v>0</v>
      </c>
      <c r="F833">
        <f>Raw_Data!G833</f>
        <v>1</v>
      </c>
      <c r="G833">
        <f>Raw_Data!E833</f>
        <v>1375.96</v>
      </c>
      <c r="H833">
        <f>Raw_Data!I833</f>
        <v>134740.01</v>
      </c>
      <c r="I833">
        <f>Raw_Data!J833</f>
        <v>0</v>
      </c>
      <c r="J833">
        <f t="shared" si="25"/>
        <v>2</v>
      </c>
      <c r="K833" t="str">
        <f t="shared" si="26"/>
        <v>Low Risk</v>
      </c>
    </row>
    <row r="834" spans="1:11" x14ac:dyDescent="0.35">
      <c r="A834">
        <f>Raw_Data!A834</f>
        <v>833</v>
      </c>
      <c r="B834">
        <f>Raw_Data!B834</f>
        <v>55</v>
      </c>
      <c r="C834">
        <f>Raw_Data!D834</f>
        <v>22</v>
      </c>
      <c r="D834">
        <f>Raw_Data!F834</f>
        <v>2</v>
      </c>
      <c r="E834">
        <f>Raw_Data!H834</f>
        <v>1</v>
      </c>
      <c r="F834">
        <f>Raw_Data!G834</f>
        <v>0</v>
      </c>
      <c r="G834">
        <f>Raw_Data!E834</f>
        <v>41990.81</v>
      </c>
      <c r="H834">
        <f>Raw_Data!I834</f>
        <v>32607.24</v>
      </c>
      <c r="I834">
        <f>Raw_Data!J834</f>
        <v>0</v>
      </c>
      <c r="J834">
        <f t="shared" si="25"/>
        <v>1</v>
      </c>
      <c r="K834" t="str">
        <f t="shared" si="26"/>
        <v>Low Risk</v>
      </c>
    </row>
    <row r="835" spans="1:11" x14ac:dyDescent="0.35">
      <c r="A835">
        <f>Raw_Data!A835</f>
        <v>834</v>
      </c>
      <c r="B835">
        <f>Raw_Data!B835</f>
        <v>20</v>
      </c>
      <c r="C835">
        <f>Raw_Data!D835</f>
        <v>43</v>
      </c>
      <c r="D835">
        <f>Raw_Data!F835</f>
        <v>3</v>
      </c>
      <c r="E835">
        <f>Raw_Data!H835</f>
        <v>1</v>
      </c>
      <c r="F835">
        <f>Raw_Data!G835</f>
        <v>0</v>
      </c>
      <c r="G835">
        <f>Raw_Data!E835</f>
        <v>37588.61</v>
      </c>
      <c r="H835">
        <f>Raw_Data!I835</f>
        <v>27241.89</v>
      </c>
      <c r="I835">
        <f>Raw_Data!J835</f>
        <v>0</v>
      </c>
      <c r="J835">
        <f t="shared" ref="J835:J898" si="27">IF(E835=0,2,0)+IF(D835=4,2,0)+IF(C835&lt;=12,2,0)+IF(B835&gt;=56,1,0)+IF(G835&gt;=40000,1,0)</f>
        <v>0</v>
      </c>
      <c r="K835" t="str">
        <f t="shared" ref="K835:K898" si="28">IF(J835&gt;=5,"High Risk",IF(J835&gt;=3,"Medium Risk","Low Risk"))</f>
        <v>Low Risk</v>
      </c>
    </row>
    <row r="836" spans="1:11" x14ac:dyDescent="0.35">
      <c r="A836">
        <f>Raw_Data!A836</f>
        <v>835</v>
      </c>
      <c r="B836">
        <f>Raw_Data!B836</f>
        <v>40</v>
      </c>
      <c r="C836">
        <f>Raw_Data!D836</f>
        <v>37</v>
      </c>
      <c r="D836">
        <f>Raw_Data!F836</f>
        <v>4</v>
      </c>
      <c r="E836">
        <f>Raw_Data!H836</f>
        <v>1</v>
      </c>
      <c r="F836">
        <f>Raw_Data!G836</f>
        <v>1</v>
      </c>
      <c r="G836">
        <f>Raw_Data!E836</f>
        <v>11434.72</v>
      </c>
      <c r="H836">
        <f>Raw_Data!I836</f>
        <v>36799.089999999997</v>
      </c>
      <c r="I836">
        <f>Raw_Data!J836</f>
        <v>0</v>
      </c>
      <c r="J836">
        <f t="shared" si="27"/>
        <v>2</v>
      </c>
      <c r="K836" t="str">
        <f t="shared" si="28"/>
        <v>Low Risk</v>
      </c>
    </row>
    <row r="837" spans="1:11" x14ac:dyDescent="0.35">
      <c r="A837">
        <f>Raw_Data!A837</f>
        <v>836</v>
      </c>
      <c r="B837">
        <f>Raw_Data!B837</f>
        <v>54</v>
      </c>
      <c r="C837">
        <f>Raw_Data!D837</f>
        <v>61</v>
      </c>
      <c r="D837">
        <f>Raw_Data!F837</f>
        <v>1</v>
      </c>
      <c r="E837">
        <f>Raw_Data!H837</f>
        <v>1</v>
      </c>
      <c r="F837">
        <f>Raw_Data!G837</f>
        <v>1</v>
      </c>
      <c r="G837">
        <f>Raw_Data!E837</f>
        <v>47816</v>
      </c>
      <c r="H837">
        <f>Raw_Data!I837</f>
        <v>27506.34</v>
      </c>
      <c r="I837">
        <f>Raw_Data!J837</f>
        <v>0</v>
      </c>
      <c r="J837">
        <f t="shared" si="27"/>
        <v>1</v>
      </c>
      <c r="K837" t="str">
        <f t="shared" si="28"/>
        <v>Low Risk</v>
      </c>
    </row>
    <row r="838" spans="1:11" x14ac:dyDescent="0.35">
      <c r="A838">
        <f>Raw_Data!A838</f>
        <v>837</v>
      </c>
      <c r="B838">
        <f>Raw_Data!B838</f>
        <v>54</v>
      </c>
      <c r="C838">
        <f>Raw_Data!D838</f>
        <v>56</v>
      </c>
      <c r="D838">
        <f>Raw_Data!F838</f>
        <v>3</v>
      </c>
      <c r="E838">
        <f>Raw_Data!H838</f>
        <v>0</v>
      </c>
      <c r="F838">
        <f>Raw_Data!G838</f>
        <v>1</v>
      </c>
      <c r="G838">
        <f>Raw_Data!E838</f>
        <v>7408.9</v>
      </c>
      <c r="H838">
        <f>Raw_Data!I838</f>
        <v>129851.59</v>
      </c>
      <c r="I838">
        <f>Raw_Data!J838</f>
        <v>0</v>
      </c>
      <c r="J838">
        <f t="shared" si="27"/>
        <v>2</v>
      </c>
      <c r="K838" t="str">
        <f t="shared" si="28"/>
        <v>Low Risk</v>
      </c>
    </row>
    <row r="839" spans="1:11" x14ac:dyDescent="0.35">
      <c r="A839">
        <f>Raw_Data!A839</f>
        <v>838</v>
      </c>
      <c r="B839">
        <f>Raw_Data!B839</f>
        <v>27</v>
      </c>
      <c r="C839">
        <f>Raw_Data!D839</f>
        <v>3</v>
      </c>
      <c r="D839">
        <f>Raw_Data!F839</f>
        <v>3</v>
      </c>
      <c r="E839">
        <f>Raw_Data!H839</f>
        <v>1</v>
      </c>
      <c r="F839">
        <f>Raw_Data!G839</f>
        <v>0</v>
      </c>
      <c r="G839">
        <f>Raw_Data!E839</f>
        <v>33977.5</v>
      </c>
      <c r="H839">
        <f>Raw_Data!I839</f>
        <v>27676.52</v>
      </c>
      <c r="I839">
        <f>Raw_Data!J839</f>
        <v>0</v>
      </c>
      <c r="J839">
        <f t="shared" si="27"/>
        <v>2</v>
      </c>
      <c r="K839" t="str">
        <f t="shared" si="28"/>
        <v>Low Risk</v>
      </c>
    </row>
    <row r="840" spans="1:11" x14ac:dyDescent="0.35">
      <c r="A840">
        <f>Raw_Data!A840</f>
        <v>839</v>
      </c>
      <c r="B840">
        <f>Raw_Data!B840</f>
        <v>27</v>
      </c>
      <c r="C840">
        <f>Raw_Data!D840</f>
        <v>63</v>
      </c>
      <c r="D840">
        <f>Raw_Data!F840</f>
        <v>1</v>
      </c>
      <c r="E840">
        <f>Raw_Data!H840</f>
        <v>1</v>
      </c>
      <c r="F840">
        <f>Raw_Data!G840</f>
        <v>1</v>
      </c>
      <c r="G840">
        <f>Raw_Data!E840</f>
        <v>11244.51</v>
      </c>
      <c r="H840">
        <f>Raw_Data!I840</f>
        <v>55316.34</v>
      </c>
      <c r="I840">
        <f>Raw_Data!J840</f>
        <v>0</v>
      </c>
      <c r="J840">
        <f t="shared" si="27"/>
        <v>0</v>
      </c>
      <c r="K840" t="str">
        <f t="shared" si="28"/>
        <v>Low Risk</v>
      </c>
    </row>
    <row r="841" spans="1:11" x14ac:dyDescent="0.35">
      <c r="A841">
        <f>Raw_Data!A841</f>
        <v>840</v>
      </c>
      <c r="B841">
        <f>Raw_Data!B841</f>
        <v>36</v>
      </c>
      <c r="C841">
        <f>Raw_Data!D841</f>
        <v>19</v>
      </c>
      <c r="D841">
        <f>Raw_Data!F841</f>
        <v>3</v>
      </c>
      <c r="E841">
        <f>Raw_Data!H841</f>
        <v>0</v>
      </c>
      <c r="F841">
        <f>Raw_Data!G841</f>
        <v>1</v>
      </c>
      <c r="G841">
        <f>Raw_Data!E841</f>
        <v>21569.03</v>
      </c>
      <c r="H841">
        <f>Raw_Data!I841</f>
        <v>33488.32</v>
      </c>
      <c r="I841">
        <f>Raw_Data!J841</f>
        <v>0</v>
      </c>
      <c r="J841">
        <f t="shared" si="27"/>
        <v>2</v>
      </c>
      <c r="K841" t="str">
        <f t="shared" si="28"/>
        <v>Low Risk</v>
      </c>
    </row>
    <row r="842" spans="1:11" x14ac:dyDescent="0.35">
      <c r="A842">
        <f>Raw_Data!A842</f>
        <v>841</v>
      </c>
      <c r="B842">
        <f>Raw_Data!B842</f>
        <v>34</v>
      </c>
      <c r="C842">
        <f>Raw_Data!D842</f>
        <v>23</v>
      </c>
      <c r="D842">
        <f>Raw_Data!F842</f>
        <v>1</v>
      </c>
      <c r="E842">
        <f>Raw_Data!H842</f>
        <v>0</v>
      </c>
      <c r="F842">
        <f>Raw_Data!G842</f>
        <v>1</v>
      </c>
      <c r="G842">
        <f>Raw_Data!E842</f>
        <v>35957.99</v>
      </c>
      <c r="H842">
        <f>Raw_Data!I842</f>
        <v>58404.86</v>
      </c>
      <c r="I842">
        <f>Raw_Data!J842</f>
        <v>0</v>
      </c>
      <c r="J842">
        <f t="shared" si="27"/>
        <v>2</v>
      </c>
      <c r="K842" t="str">
        <f t="shared" si="28"/>
        <v>Low Risk</v>
      </c>
    </row>
    <row r="843" spans="1:11" x14ac:dyDescent="0.35">
      <c r="A843">
        <f>Raw_Data!A843</f>
        <v>842</v>
      </c>
      <c r="B843">
        <f>Raw_Data!B843</f>
        <v>38</v>
      </c>
      <c r="C843">
        <f>Raw_Data!D843</f>
        <v>29</v>
      </c>
      <c r="D843">
        <f>Raw_Data!F843</f>
        <v>4</v>
      </c>
      <c r="E843">
        <f>Raw_Data!H843</f>
        <v>0</v>
      </c>
      <c r="F843">
        <f>Raw_Data!G843</f>
        <v>0</v>
      </c>
      <c r="G843">
        <f>Raw_Data!E843</f>
        <v>28166.23</v>
      </c>
      <c r="H843">
        <f>Raw_Data!I843</f>
        <v>31772.73</v>
      </c>
      <c r="I843">
        <f>Raw_Data!J843</f>
        <v>0</v>
      </c>
      <c r="J843">
        <f t="shared" si="27"/>
        <v>4</v>
      </c>
      <c r="K843" t="str">
        <f t="shared" si="28"/>
        <v>Medium Risk</v>
      </c>
    </row>
    <row r="844" spans="1:11" x14ac:dyDescent="0.35">
      <c r="A844">
        <f>Raw_Data!A844</f>
        <v>843</v>
      </c>
      <c r="B844">
        <f>Raw_Data!B844</f>
        <v>31</v>
      </c>
      <c r="C844">
        <f>Raw_Data!D844</f>
        <v>30</v>
      </c>
      <c r="D844">
        <f>Raw_Data!F844</f>
        <v>2</v>
      </c>
      <c r="E844">
        <f>Raw_Data!H844</f>
        <v>0</v>
      </c>
      <c r="F844">
        <f>Raw_Data!G844</f>
        <v>0</v>
      </c>
      <c r="G844">
        <f>Raw_Data!E844</f>
        <v>21375.09</v>
      </c>
      <c r="H844">
        <f>Raw_Data!I844</f>
        <v>106840.42</v>
      </c>
      <c r="I844">
        <f>Raw_Data!J844</f>
        <v>0</v>
      </c>
      <c r="J844">
        <f t="shared" si="27"/>
        <v>2</v>
      </c>
      <c r="K844" t="str">
        <f t="shared" si="28"/>
        <v>Low Risk</v>
      </c>
    </row>
    <row r="845" spans="1:11" x14ac:dyDescent="0.35">
      <c r="A845">
        <f>Raw_Data!A845</f>
        <v>844</v>
      </c>
      <c r="B845">
        <f>Raw_Data!B845</f>
        <v>26</v>
      </c>
      <c r="C845">
        <f>Raw_Data!D845</f>
        <v>39</v>
      </c>
      <c r="D845">
        <f>Raw_Data!F845</f>
        <v>4</v>
      </c>
      <c r="E845">
        <f>Raw_Data!H845</f>
        <v>0</v>
      </c>
      <c r="F845">
        <f>Raw_Data!G845</f>
        <v>0</v>
      </c>
      <c r="G845">
        <f>Raw_Data!E845</f>
        <v>16316.92</v>
      </c>
      <c r="H845">
        <f>Raw_Data!I845</f>
        <v>37332.49</v>
      </c>
      <c r="I845">
        <f>Raw_Data!J845</f>
        <v>0</v>
      </c>
      <c r="J845">
        <f t="shared" si="27"/>
        <v>4</v>
      </c>
      <c r="K845" t="str">
        <f t="shared" si="28"/>
        <v>Medium Risk</v>
      </c>
    </row>
    <row r="846" spans="1:11" x14ac:dyDescent="0.35">
      <c r="A846">
        <f>Raw_Data!A846</f>
        <v>845</v>
      </c>
      <c r="B846">
        <f>Raw_Data!B846</f>
        <v>63</v>
      </c>
      <c r="C846">
        <f>Raw_Data!D846</f>
        <v>25</v>
      </c>
      <c r="D846">
        <f>Raw_Data!F846</f>
        <v>2</v>
      </c>
      <c r="E846">
        <f>Raw_Data!H846</f>
        <v>1</v>
      </c>
      <c r="F846">
        <f>Raw_Data!G846</f>
        <v>0</v>
      </c>
      <c r="G846">
        <f>Raw_Data!E846</f>
        <v>41982.98</v>
      </c>
      <c r="H846">
        <f>Raw_Data!I846</f>
        <v>130739.97</v>
      </c>
      <c r="I846">
        <f>Raw_Data!J846</f>
        <v>0</v>
      </c>
      <c r="J846">
        <f t="shared" si="27"/>
        <v>2</v>
      </c>
      <c r="K846" t="str">
        <f t="shared" si="28"/>
        <v>Low Risk</v>
      </c>
    </row>
    <row r="847" spans="1:11" x14ac:dyDescent="0.35">
      <c r="A847">
        <f>Raw_Data!A847</f>
        <v>846</v>
      </c>
      <c r="B847">
        <f>Raw_Data!B847</f>
        <v>18</v>
      </c>
      <c r="C847">
        <f>Raw_Data!D847</f>
        <v>8</v>
      </c>
      <c r="D847">
        <f>Raw_Data!F847</f>
        <v>1</v>
      </c>
      <c r="E847">
        <f>Raw_Data!H847</f>
        <v>0</v>
      </c>
      <c r="F847">
        <f>Raw_Data!G847</f>
        <v>1</v>
      </c>
      <c r="G847">
        <f>Raw_Data!E847</f>
        <v>7190.72</v>
      </c>
      <c r="H847">
        <f>Raw_Data!I847</f>
        <v>126234.84</v>
      </c>
      <c r="I847">
        <f>Raw_Data!J847</f>
        <v>1</v>
      </c>
      <c r="J847">
        <f t="shared" si="27"/>
        <v>4</v>
      </c>
      <c r="K847" t="str">
        <f t="shared" si="28"/>
        <v>Medium Risk</v>
      </c>
    </row>
    <row r="848" spans="1:11" x14ac:dyDescent="0.35">
      <c r="A848">
        <f>Raw_Data!A848</f>
        <v>847</v>
      </c>
      <c r="B848">
        <f>Raw_Data!B848</f>
        <v>68</v>
      </c>
      <c r="C848">
        <f>Raw_Data!D848</f>
        <v>58</v>
      </c>
      <c r="D848">
        <f>Raw_Data!F848</f>
        <v>2</v>
      </c>
      <c r="E848">
        <f>Raw_Data!H848</f>
        <v>1</v>
      </c>
      <c r="F848">
        <f>Raw_Data!G848</f>
        <v>0</v>
      </c>
      <c r="G848">
        <f>Raw_Data!E848</f>
        <v>21505.14</v>
      </c>
      <c r="H848">
        <f>Raw_Data!I848</f>
        <v>21776.02</v>
      </c>
      <c r="I848">
        <f>Raw_Data!J848</f>
        <v>0</v>
      </c>
      <c r="J848">
        <f t="shared" si="27"/>
        <v>1</v>
      </c>
      <c r="K848" t="str">
        <f t="shared" si="28"/>
        <v>Low Risk</v>
      </c>
    </row>
    <row r="849" spans="1:11" x14ac:dyDescent="0.35">
      <c r="A849">
        <f>Raw_Data!A849</f>
        <v>848</v>
      </c>
      <c r="B849">
        <f>Raw_Data!B849</f>
        <v>62</v>
      </c>
      <c r="C849">
        <f>Raw_Data!D849</f>
        <v>16</v>
      </c>
      <c r="D849">
        <f>Raw_Data!F849</f>
        <v>4</v>
      </c>
      <c r="E849">
        <f>Raw_Data!H849</f>
        <v>1</v>
      </c>
      <c r="F849">
        <f>Raw_Data!G849</f>
        <v>1</v>
      </c>
      <c r="G849">
        <f>Raw_Data!E849</f>
        <v>45187.88</v>
      </c>
      <c r="H849">
        <f>Raw_Data!I849</f>
        <v>136444.43</v>
      </c>
      <c r="I849">
        <f>Raw_Data!J849</f>
        <v>0</v>
      </c>
      <c r="J849">
        <f t="shared" si="27"/>
        <v>4</v>
      </c>
      <c r="K849" t="str">
        <f t="shared" si="28"/>
        <v>Medium Risk</v>
      </c>
    </row>
    <row r="850" spans="1:11" x14ac:dyDescent="0.35">
      <c r="A850">
        <f>Raw_Data!A850</f>
        <v>849</v>
      </c>
      <c r="B850">
        <f>Raw_Data!B850</f>
        <v>30</v>
      </c>
      <c r="C850">
        <f>Raw_Data!D850</f>
        <v>1</v>
      </c>
      <c r="D850">
        <f>Raw_Data!F850</f>
        <v>2</v>
      </c>
      <c r="E850">
        <f>Raw_Data!H850</f>
        <v>0</v>
      </c>
      <c r="F850">
        <f>Raw_Data!G850</f>
        <v>1</v>
      </c>
      <c r="G850">
        <f>Raw_Data!E850</f>
        <v>42292.480000000003</v>
      </c>
      <c r="H850">
        <f>Raw_Data!I850</f>
        <v>23762.76</v>
      </c>
      <c r="I850">
        <f>Raw_Data!J850</f>
        <v>0</v>
      </c>
      <c r="J850">
        <f t="shared" si="27"/>
        <v>5</v>
      </c>
      <c r="K850" t="str">
        <f t="shared" si="28"/>
        <v>High Risk</v>
      </c>
    </row>
    <row r="851" spans="1:11" x14ac:dyDescent="0.35">
      <c r="A851">
        <f>Raw_Data!A851</f>
        <v>850</v>
      </c>
      <c r="B851">
        <f>Raw_Data!B851</f>
        <v>21</v>
      </c>
      <c r="C851">
        <f>Raw_Data!D851</f>
        <v>5</v>
      </c>
      <c r="D851">
        <f>Raw_Data!F851</f>
        <v>1</v>
      </c>
      <c r="E851">
        <f>Raw_Data!H851</f>
        <v>1</v>
      </c>
      <c r="F851">
        <f>Raw_Data!G851</f>
        <v>1</v>
      </c>
      <c r="G851">
        <f>Raw_Data!E851</f>
        <v>20047.09</v>
      </c>
      <c r="H851">
        <f>Raw_Data!I851</f>
        <v>51153.95</v>
      </c>
      <c r="I851">
        <f>Raw_Data!J851</f>
        <v>0</v>
      </c>
      <c r="J851">
        <f t="shared" si="27"/>
        <v>2</v>
      </c>
      <c r="K851" t="str">
        <f t="shared" si="28"/>
        <v>Low Risk</v>
      </c>
    </row>
    <row r="852" spans="1:11" x14ac:dyDescent="0.35">
      <c r="A852">
        <f>Raw_Data!A852</f>
        <v>851</v>
      </c>
      <c r="B852">
        <f>Raw_Data!B852</f>
        <v>18</v>
      </c>
      <c r="C852">
        <f>Raw_Data!D852</f>
        <v>3</v>
      </c>
      <c r="D852">
        <f>Raw_Data!F852</f>
        <v>2</v>
      </c>
      <c r="E852">
        <f>Raw_Data!H852</f>
        <v>1</v>
      </c>
      <c r="F852">
        <f>Raw_Data!G852</f>
        <v>1</v>
      </c>
      <c r="G852">
        <f>Raw_Data!E852</f>
        <v>38155.42</v>
      </c>
      <c r="H852">
        <f>Raw_Data!I852</f>
        <v>24210.59</v>
      </c>
      <c r="I852">
        <f>Raw_Data!J852</f>
        <v>0</v>
      </c>
      <c r="J852">
        <f t="shared" si="27"/>
        <v>2</v>
      </c>
      <c r="K852" t="str">
        <f t="shared" si="28"/>
        <v>Low Risk</v>
      </c>
    </row>
    <row r="853" spans="1:11" x14ac:dyDescent="0.35">
      <c r="A853">
        <f>Raw_Data!A853</f>
        <v>852</v>
      </c>
      <c r="B853">
        <f>Raw_Data!B853</f>
        <v>66</v>
      </c>
      <c r="C853">
        <f>Raw_Data!D853</f>
        <v>65</v>
      </c>
      <c r="D853">
        <f>Raw_Data!F853</f>
        <v>3</v>
      </c>
      <c r="E853">
        <f>Raw_Data!H853</f>
        <v>0</v>
      </c>
      <c r="F853">
        <f>Raw_Data!G853</f>
        <v>0</v>
      </c>
      <c r="G853">
        <f>Raw_Data!E853</f>
        <v>41158.04</v>
      </c>
      <c r="H853">
        <f>Raw_Data!I853</f>
        <v>63659.65</v>
      </c>
      <c r="I853">
        <f>Raw_Data!J853</f>
        <v>0</v>
      </c>
      <c r="J853">
        <f t="shared" si="27"/>
        <v>4</v>
      </c>
      <c r="K853" t="str">
        <f t="shared" si="28"/>
        <v>Medium Risk</v>
      </c>
    </row>
    <row r="854" spans="1:11" x14ac:dyDescent="0.35">
      <c r="A854">
        <f>Raw_Data!A854</f>
        <v>853</v>
      </c>
      <c r="B854">
        <f>Raw_Data!B854</f>
        <v>57</v>
      </c>
      <c r="C854">
        <f>Raw_Data!D854</f>
        <v>4</v>
      </c>
      <c r="D854">
        <f>Raw_Data!F854</f>
        <v>4</v>
      </c>
      <c r="E854">
        <f>Raw_Data!H854</f>
        <v>1</v>
      </c>
      <c r="F854">
        <f>Raw_Data!G854</f>
        <v>0</v>
      </c>
      <c r="G854">
        <f>Raw_Data!E854</f>
        <v>44444.37</v>
      </c>
      <c r="H854">
        <f>Raw_Data!I854</f>
        <v>86802.65</v>
      </c>
      <c r="I854">
        <f>Raw_Data!J854</f>
        <v>0</v>
      </c>
      <c r="J854">
        <f t="shared" si="27"/>
        <v>6</v>
      </c>
      <c r="K854" t="str">
        <f t="shared" si="28"/>
        <v>High Risk</v>
      </c>
    </row>
    <row r="855" spans="1:11" x14ac:dyDescent="0.35">
      <c r="A855">
        <f>Raw_Data!A855</f>
        <v>854</v>
      </c>
      <c r="B855">
        <f>Raw_Data!B855</f>
        <v>49</v>
      </c>
      <c r="C855">
        <f>Raw_Data!D855</f>
        <v>64</v>
      </c>
      <c r="D855">
        <f>Raw_Data!F855</f>
        <v>3</v>
      </c>
      <c r="E855">
        <f>Raw_Data!H855</f>
        <v>1</v>
      </c>
      <c r="F855">
        <f>Raw_Data!G855</f>
        <v>0</v>
      </c>
      <c r="G855">
        <f>Raw_Data!E855</f>
        <v>27225.29</v>
      </c>
      <c r="H855">
        <f>Raw_Data!I855</f>
        <v>123563.83</v>
      </c>
      <c r="I855">
        <f>Raw_Data!J855</f>
        <v>0</v>
      </c>
      <c r="J855">
        <f t="shared" si="27"/>
        <v>0</v>
      </c>
      <c r="K855" t="str">
        <f t="shared" si="28"/>
        <v>Low Risk</v>
      </c>
    </row>
    <row r="856" spans="1:11" x14ac:dyDescent="0.35">
      <c r="A856">
        <f>Raw_Data!A856</f>
        <v>855</v>
      </c>
      <c r="B856">
        <f>Raw_Data!B856</f>
        <v>51</v>
      </c>
      <c r="C856">
        <f>Raw_Data!D856</f>
        <v>10</v>
      </c>
      <c r="D856">
        <f>Raw_Data!F856</f>
        <v>1</v>
      </c>
      <c r="E856">
        <f>Raw_Data!H856</f>
        <v>1</v>
      </c>
      <c r="F856">
        <f>Raw_Data!G856</f>
        <v>0</v>
      </c>
      <c r="G856">
        <f>Raw_Data!E856</f>
        <v>10223.040000000001</v>
      </c>
      <c r="H856">
        <f>Raw_Data!I856</f>
        <v>63937.599999999999</v>
      </c>
      <c r="I856">
        <f>Raw_Data!J856</f>
        <v>0</v>
      </c>
      <c r="J856">
        <f t="shared" si="27"/>
        <v>2</v>
      </c>
      <c r="K856" t="str">
        <f t="shared" si="28"/>
        <v>Low Risk</v>
      </c>
    </row>
    <row r="857" spans="1:11" x14ac:dyDescent="0.35">
      <c r="A857">
        <f>Raw_Data!A857</f>
        <v>856</v>
      </c>
      <c r="B857">
        <f>Raw_Data!B857</f>
        <v>45</v>
      </c>
      <c r="C857">
        <f>Raw_Data!D857</f>
        <v>21</v>
      </c>
      <c r="D857">
        <f>Raw_Data!F857</f>
        <v>2</v>
      </c>
      <c r="E857">
        <f>Raw_Data!H857</f>
        <v>0</v>
      </c>
      <c r="F857">
        <f>Raw_Data!G857</f>
        <v>0</v>
      </c>
      <c r="G857">
        <f>Raw_Data!E857</f>
        <v>12765.45</v>
      </c>
      <c r="H857">
        <f>Raw_Data!I857</f>
        <v>111713.7</v>
      </c>
      <c r="I857">
        <f>Raw_Data!J857</f>
        <v>0</v>
      </c>
      <c r="J857">
        <f t="shared" si="27"/>
        <v>2</v>
      </c>
      <c r="K857" t="str">
        <f t="shared" si="28"/>
        <v>Low Risk</v>
      </c>
    </row>
    <row r="858" spans="1:11" x14ac:dyDescent="0.35">
      <c r="A858">
        <f>Raw_Data!A858</f>
        <v>857</v>
      </c>
      <c r="B858">
        <f>Raw_Data!B858</f>
        <v>48</v>
      </c>
      <c r="C858">
        <f>Raw_Data!D858</f>
        <v>46</v>
      </c>
      <c r="D858">
        <f>Raw_Data!F858</f>
        <v>3</v>
      </c>
      <c r="E858">
        <f>Raw_Data!H858</f>
        <v>0</v>
      </c>
      <c r="F858">
        <f>Raw_Data!G858</f>
        <v>1</v>
      </c>
      <c r="G858">
        <f>Raw_Data!E858</f>
        <v>14784.73</v>
      </c>
      <c r="H858">
        <f>Raw_Data!I858</f>
        <v>44375.58</v>
      </c>
      <c r="I858">
        <f>Raw_Data!J858</f>
        <v>0</v>
      </c>
      <c r="J858">
        <f t="shared" si="27"/>
        <v>2</v>
      </c>
      <c r="K858" t="str">
        <f t="shared" si="28"/>
        <v>Low Risk</v>
      </c>
    </row>
    <row r="859" spans="1:11" x14ac:dyDescent="0.35">
      <c r="A859">
        <f>Raw_Data!A859</f>
        <v>858</v>
      </c>
      <c r="B859">
        <f>Raw_Data!B859</f>
        <v>25</v>
      </c>
      <c r="C859">
        <f>Raw_Data!D859</f>
        <v>27</v>
      </c>
      <c r="D859">
        <f>Raw_Data!F859</f>
        <v>3</v>
      </c>
      <c r="E859">
        <f>Raw_Data!H859</f>
        <v>0</v>
      </c>
      <c r="F859">
        <f>Raw_Data!G859</f>
        <v>0</v>
      </c>
      <c r="G859">
        <f>Raw_Data!E859</f>
        <v>29690.12</v>
      </c>
      <c r="H859">
        <f>Raw_Data!I859</f>
        <v>117577.8</v>
      </c>
      <c r="I859">
        <f>Raw_Data!J859</f>
        <v>0</v>
      </c>
      <c r="J859">
        <f t="shared" si="27"/>
        <v>2</v>
      </c>
      <c r="K859" t="str">
        <f t="shared" si="28"/>
        <v>Low Risk</v>
      </c>
    </row>
    <row r="860" spans="1:11" x14ac:dyDescent="0.35">
      <c r="A860">
        <f>Raw_Data!A860</f>
        <v>859</v>
      </c>
      <c r="B860">
        <f>Raw_Data!B860</f>
        <v>56</v>
      </c>
      <c r="C860">
        <f>Raw_Data!D860</f>
        <v>66</v>
      </c>
      <c r="D860">
        <f>Raw_Data!F860</f>
        <v>2</v>
      </c>
      <c r="E860">
        <f>Raw_Data!H860</f>
        <v>1</v>
      </c>
      <c r="F860">
        <f>Raw_Data!G860</f>
        <v>0</v>
      </c>
      <c r="G860">
        <f>Raw_Data!E860</f>
        <v>1640.48</v>
      </c>
      <c r="H860">
        <f>Raw_Data!I860</f>
        <v>50679.56</v>
      </c>
      <c r="I860">
        <f>Raw_Data!J860</f>
        <v>0</v>
      </c>
      <c r="J860">
        <f t="shared" si="27"/>
        <v>1</v>
      </c>
      <c r="K860" t="str">
        <f t="shared" si="28"/>
        <v>Low Risk</v>
      </c>
    </row>
    <row r="861" spans="1:11" x14ac:dyDescent="0.35">
      <c r="A861">
        <f>Raw_Data!A861</f>
        <v>860</v>
      </c>
      <c r="B861">
        <f>Raw_Data!B861</f>
        <v>43</v>
      </c>
      <c r="C861">
        <f>Raw_Data!D861</f>
        <v>41</v>
      </c>
      <c r="D861">
        <f>Raw_Data!F861</f>
        <v>2</v>
      </c>
      <c r="E861">
        <f>Raw_Data!H861</f>
        <v>0</v>
      </c>
      <c r="F861">
        <f>Raw_Data!G861</f>
        <v>0</v>
      </c>
      <c r="G861">
        <f>Raw_Data!E861</f>
        <v>31802.12</v>
      </c>
      <c r="H861">
        <f>Raw_Data!I861</f>
        <v>38660.82</v>
      </c>
      <c r="I861">
        <f>Raw_Data!J861</f>
        <v>0</v>
      </c>
      <c r="J861">
        <f t="shared" si="27"/>
        <v>2</v>
      </c>
      <c r="K861" t="str">
        <f t="shared" si="28"/>
        <v>Low Risk</v>
      </c>
    </row>
    <row r="862" spans="1:11" x14ac:dyDescent="0.35">
      <c r="A862">
        <f>Raw_Data!A862</f>
        <v>861</v>
      </c>
      <c r="B862">
        <f>Raw_Data!B862</f>
        <v>51</v>
      </c>
      <c r="C862">
        <f>Raw_Data!D862</f>
        <v>13</v>
      </c>
      <c r="D862">
        <f>Raw_Data!F862</f>
        <v>4</v>
      </c>
      <c r="E862">
        <f>Raw_Data!H862</f>
        <v>1</v>
      </c>
      <c r="F862">
        <f>Raw_Data!G862</f>
        <v>0</v>
      </c>
      <c r="G862">
        <f>Raw_Data!E862</f>
        <v>18217.71</v>
      </c>
      <c r="H862">
        <f>Raw_Data!I862</f>
        <v>44103.15</v>
      </c>
      <c r="I862">
        <f>Raw_Data!J862</f>
        <v>0</v>
      </c>
      <c r="J862">
        <f t="shared" si="27"/>
        <v>2</v>
      </c>
      <c r="K862" t="str">
        <f t="shared" si="28"/>
        <v>Low Risk</v>
      </c>
    </row>
    <row r="863" spans="1:11" x14ac:dyDescent="0.35">
      <c r="A863">
        <f>Raw_Data!A863</f>
        <v>862</v>
      </c>
      <c r="B863">
        <f>Raw_Data!B863</f>
        <v>20</v>
      </c>
      <c r="C863">
        <f>Raw_Data!D863</f>
        <v>9</v>
      </c>
      <c r="D863">
        <f>Raw_Data!F863</f>
        <v>3</v>
      </c>
      <c r="E863">
        <f>Raw_Data!H863</f>
        <v>0</v>
      </c>
      <c r="F863">
        <f>Raw_Data!G863</f>
        <v>1</v>
      </c>
      <c r="G863">
        <f>Raw_Data!E863</f>
        <v>14762.09</v>
      </c>
      <c r="H863">
        <f>Raw_Data!I863</f>
        <v>43668.21</v>
      </c>
      <c r="I863">
        <f>Raw_Data!J863</f>
        <v>0</v>
      </c>
      <c r="J863">
        <f t="shared" si="27"/>
        <v>4</v>
      </c>
      <c r="K863" t="str">
        <f t="shared" si="28"/>
        <v>Medium Risk</v>
      </c>
    </row>
    <row r="864" spans="1:11" x14ac:dyDescent="0.35">
      <c r="A864">
        <f>Raw_Data!A864</f>
        <v>863</v>
      </c>
      <c r="B864">
        <f>Raw_Data!B864</f>
        <v>67</v>
      </c>
      <c r="C864">
        <f>Raw_Data!D864</f>
        <v>36</v>
      </c>
      <c r="D864">
        <f>Raw_Data!F864</f>
        <v>3</v>
      </c>
      <c r="E864">
        <f>Raw_Data!H864</f>
        <v>1</v>
      </c>
      <c r="F864">
        <f>Raw_Data!G864</f>
        <v>1</v>
      </c>
      <c r="G864">
        <f>Raw_Data!E864</f>
        <v>43974.83</v>
      </c>
      <c r="H864">
        <f>Raw_Data!I864</f>
        <v>86672.17</v>
      </c>
      <c r="I864">
        <f>Raw_Data!J864</f>
        <v>0</v>
      </c>
      <c r="J864">
        <f t="shared" si="27"/>
        <v>2</v>
      </c>
      <c r="K864" t="str">
        <f t="shared" si="28"/>
        <v>Low Risk</v>
      </c>
    </row>
    <row r="865" spans="1:11" x14ac:dyDescent="0.35">
      <c r="A865">
        <f>Raw_Data!A865</f>
        <v>864</v>
      </c>
      <c r="B865">
        <f>Raw_Data!B865</f>
        <v>29</v>
      </c>
      <c r="C865">
        <f>Raw_Data!D865</f>
        <v>58</v>
      </c>
      <c r="D865">
        <f>Raw_Data!F865</f>
        <v>1</v>
      </c>
      <c r="E865">
        <f>Raw_Data!H865</f>
        <v>0</v>
      </c>
      <c r="F865">
        <f>Raw_Data!G865</f>
        <v>1</v>
      </c>
      <c r="G865">
        <f>Raw_Data!E865</f>
        <v>23000.12</v>
      </c>
      <c r="H865">
        <f>Raw_Data!I865</f>
        <v>129823.69</v>
      </c>
      <c r="I865">
        <f>Raw_Data!J865</f>
        <v>0</v>
      </c>
      <c r="J865">
        <f t="shared" si="27"/>
        <v>2</v>
      </c>
      <c r="K865" t="str">
        <f t="shared" si="28"/>
        <v>Low Risk</v>
      </c>
    </row>
    <row r="866" spans="1:11" x14ac:dyDescent="0.35">
      <c r="A866">
        <f>Raw_Data!A866</f>
        <v>865</v>
      </c>
      <c r="B866">
        <f>Raw_Data!B866</f>
        <v>18</v>
      </c>
      <c r="C866">
        <f>Raw_Data!D866</f>
        <v>54</v>
      </c>
      <c r="D866">
        <f>Raw_Data!F866</f>
        <v>4</v>
      </c>
      <c r="E866">
        <f>Raw_Data!H866</f>
        <v>0</v>
      </c>
      <c r="F866">
        <f>Raw_Data!G866</f>
        <v>1</v>
      </c>
      <c r="G866">
        <f>Raw_Data!E866</f>
        <v>4752.6499999999996</v>
      </c>
      <c r="H866">
        <f>Raw_Data!I866</f>
        <v>30348.66</v>
      </c>
      <c r="I866">
        <f>Raw_Data!J866</f>
        <v>0</v>
      </c>
      <c r="J866">
        <f t="shared" si="27"/>
        <v>4</v>
      </c>
      <c r="K866" t="str">
        <f t="shared" si="28"/>
        <v>Medium Risk</v>
      </c>
    </row>
    <row r="867" spans="1:11" x14ac:dyDescent="0.35">
      <c r="A867">
        <f>Raw_Data!A867</f>
        <v>866</v>
      </c>
      <c r="B867">
        <f>Raw_Data!B867</f>
        <v>61</v>
      </c>
      <c r="C867">
        <f>Raw_Data!D867</f>
        <v>12</v>
      </c>
      <c r="D867">
        <f>Raw_Data!F867</f>
        <v>1</v>
      </c>
      <c r="E867">
        <f>Raw_Data!H867</f>
        <v>1</v>
      </c>
      <c r="F867">
        <f>Raw_Data!G867</f>
        <v>1</v>
      </c>
      <c r="G867">
        <f>Raw_Data!E867</f>
        <v>41337.339999999997</v>
      </c>
      <c r="H867">
        <f>Raw_Data!I867</f>
        <v>111904.32000000001</v>
      </c>
      <c r="I867">
        <f>Raw_Data!J867</f>
        <v>0</v>
      </c>
      <c r="J867">
        <f t="shared" si="27"/>
        <v>4</v>
      </c>
      <c r="K867" t="str">
        <f t="shared" si="28"/>
        <v>Medium Risk</v>
      </c>
    </row>
    <row r="868" spans="1:11" x14ac:dyDescent="0.35">
      <c r="A868">
        <f>Raw_Data!A868</f>
        <v>867</v>
      </c>
      <c r="B868">
        <f>Raw_Data!B868</f>
        <v>22</v>
      </c>
      <c r="C868">
        <f>Raw_Data!D868</f>
        <v>14</v>
      </c>
      <c r="D868">
        <f>Raw_Data!F868</f>
        <v>3</v>
      </c>
      <c r="E868">
        <f>Raw_Data!H868</f>
        <v>0</v>
      </c>
      <c r="F868">
        <f>Raw_Data!G868</f>
        <v>0</v>
      </c>
      <c r="G868">
        <f>Raw_Data!E868</f>
        <v>2382.06</v>
      </c>
      <c r="H868">
        <f>Raw_Data!I868</f>
        <v>105065.04</v>
      </c>
      <c r="I868">
        <f>Raw_Data!J868</f>
        <v>0</v>
      </c>
      <c r="J868">
        <f t="shared" si="27"/>
        <v>2</v>
      </c>
      <c r="K868" t="str">
        <f t="shared" si="28"/>
        <v>Low Risk</v>
      </c>
    </row>
    <row r="869" spans="1:11" x14ac:dyDescent="0.35">
      <c r="A869">
        <f>Raw_Data!A869</f>
        <v>868</v>
      </c>
      <c r="B869">
        <f>Raw_Data!B869</f>
        <v>47</v>
      </c>
      <c r="C869">
        <f>Raw_Data!D869</f>
        <v>34</v>
      </c>
      <c r="D869">
        <f>Raw_Data!F869</f>
        <v>1</v>
      </c>
      <c r="E869">
        <f>Raw_Data!H869</f>
        <v>1</v>
      </c>
      <c r="F869">
        <f>Raw_Data!G869</f>
        <v>1</v>
      </c>
      <c r="G869">
        <f>Raw_Data!E869</f>
        <v>36337.46</v>
      </c>
      <c r="H869">
        <f>Raw_Data!I869</f>
        <v>133427.59</v>
      </c>
      <c r="I869">
        <f>Raw_Data!J869</f>
        <v>0</v>
      </c>
      <c r="J869">
        <f t="shared" si="27"/>
        <v>0</v>
      </c>
      <c r="K869" t="str">
        <f t="shared" si="28"/>
        <v>Low Risk</v>
      </c>
    </row>
    <row r="870" spans="1:11" x14ac:dyDescent="0.35">
      <c r="A870">
        <f>Raw_Data!A870</f>
        <v>869</v>
      </c>
      <c r="B870">
        <f>Raw_Data!B870</f>
        <v>47</v>
      </c>
      <c r="C870">
        <f>Raw_Data!D870</f>
        <v>53</v>
      </c>
      <c r="D870">
        <f>Raw_Data!F870</f>
        <v>3</v>
      </c>
      <c r="E870">
        <f>Raw_Data!H870</f>
        <v>0</v>
      </c>
      <c r="F870">
        <f>Raw_Data!G870</f>
        <v>1</v>
      </c>
      <c r="G870">
        <f>Raw_Data!E870</f>
        <v>38695.31</v>
      </c>
      <c r="H870">
        <f>Raw_Data!I870</f>
        <v>51739.18</v>
      </c>
      <c r="I870">
        <f>Raw_Data!J870</f>
        <v>0</v>
      </c>
      <c r="J870">
        <f t="shared" si="27"/>
        <v>2</v>
      </c>
      <c r="K870" t="str">
        <f t="shared" si="28"/>
        <v>Low Risk</v>
      </c>
    </row>
    <row r="871" spans="1:11" x14ac:dyDescent="0.35">
      <c r="A871">
        <f>Raw_Data!A871</f>
        <v>870</v>
      </c>
      <c r="B871">
        <f>Raw_Data!B871</f>
        <v>34</v>
      </c>
      <c r="C871">
        <f>Raw_Data!D871</f>
        <v>20</v>
      </c>
      <c r="D871">
        <f>Raw_Data!F871</f>
        <v>3</v>
      </c>
      <c r="E871">
        <f>Raw_Data!H871</f>
        <v>0</v>
      </c>
      <c r="F871">
        <f>Raw_Data!G871</f>
        <v>1</v>
      </c>
      <c r="G871">
        <f>Raw_Data!E871</f>
        <v>17630.13</v>
      </c>
      <c r="H871">
        <f>Raw_Data!I871</f>
        <v>78514.28</v>
      </c>
      <c r="I871">
        <f>Raw_Data!J871</f>
        <v>0</v>
      </c>
      <c r="J871">
        <f t="shared" si="27"/>
        <v>2</v>
      </c>
      <c r="K871" t="str">
        <f t="shared" si="28"/>
        <v>Low Risk</v>
      </c>
    </row>
    <row r="872" spans="1:11" x14ac:dyDescent="0.35">
      <c r="A872">
        <f>Raw_Data!A872</f>
        <v>871</v>
      </c>
      <c r="B872">
        <f>Raw_Data!B872</f>
        <v>65</v>
      </c>
      <c r="C872">
        <f>Raw_Data!D872</f>
        <v>16</v>
      </c>
      <c r="D872">
        <f>Raw_Data!F872</f>
        <v>1</v>
      </c>
      <c r="E872">
        <f>Raw_Data!H872</f>
        <v>1</v>
      </c>
      <c r="F872">
        <f>Raw_Data!G872</f>
        <v>0</v>
      </c>
      <c r="G872">
        <f>Raw_Data!E872</f>
        <v>41239.39</v>
      </c>
      <c r="H872">
        <f>Raw_Data!I872</f>
        <v>140357.56</v>
      </c>
      <c r="I872">
        <f>Raw_Data!J872</f>
        <v>0</v>
      </c>
      <c r="J872">
        <f t="shared" si="27"/>
        <v>2</v>
      </c>
      <c r="K872" t="str">
        <f t="shared" si="28"/>
        <v>Low Risk</v>
      </c>
    </row>
    <row r="873" spans="1:11" x14ac:dyDescent="0.35">
      <c r="A873">
        <f>Raw_Data!A873</f>
        <v>872</v>
      </c>
      <c r="B873">
        <f>Raw_Data!B873</f>
        <v>64</v>
      </c>
      <c r="C873">
        <f>Raw_Data!D873</f>
        <v>70</v>
      </c>
      <c r="D873">
        <f>Raw_Data!F873</f>
        <v>1</v>
      </c>
      <c r="E873">
        <f>Raw_Data!H873</f>
        <v>1</v>
      </c>
      <c r="F873">
        <f>Raw_Data!G873</f>
        <v>0</v>
      </c>
      <c r="G873">
        <f>Raw_Data!E873</f>
        <v>25782.97</v>
      </c>
      <c r="H873">
        <f>Raw_Data!I873</f>
        <v>105799.15</v>
      </c>
      <c r="I873">
        <f>Raw_Data!J873</f>
        <v>0</v>
      </c>
      <c r="J873">
        <f t="shared" si="27"/>
        <v>1</v>
      </c>
      <c r="K873" t="str">
        <f t="shared" si="28"/>
        <v>Low Risk</v>
      </c>
    </row>
    <row r="874" spans="1:11" x14ac:dyDescent="0.35">
      <c r="A874">
        <f>Raw_Data!A874</f>
        <v>873</v>
      </c>
      <c r="B874">
        <f>Raw_Data!B874</f>
        <v>40</v>
      </c>
      <c r="C874">
        <f>Raw_Data!D874</f>
        <v>56</v>
      </c>
      <c r="D874">
        <f>Raw_Data!F874</f>
        <v>2</v>
      </c>
      <c r="E874">
        <f>Raw_Data!H874</f>
        <v>1</v>
      </c>
      <c r="F874">
        <f>Raw_Data!G874</f>
        <v>1</v>
      </c>
      <c r="G874">
        <f>Raw_Data!E874</f>
        <v>23164.68</v>
      </c>
      <c r="H874">
        <f>Raw_Data!I874</f>
        <v>70539.89</v>
      </c>
      <c r="I874">
        <f>Raw_Data!J874</f>
        <v>0</v>
      </c>
      <c r="J874">
        <f t="shared" si="27"/>
        <v>0</v>
      </c>
      <c r="K874" t="str">
        <f t="shared" si="28"/>
        <v>Low Risk</v>
      </c>
    </row>
    <row r="875" spans="1:11" x14ac:dyDescent="0.35">
      <c r="A875">
        <f>Raw_Data!A875</f>
        <v>874</v>
      </c>
      <c r="B875">
        <f>Raw_Data!B875</f>
        <v>32</v>
      </c>
      <c r="C875">
        <f>Raw_Data!D875</f>
        <v>58</v>
      </c>
      <c r="D875">
        <f>Raw_Data!F875</f>
        <v>2</v>
      </c>
      <c r="E875">
        <f>Raw_Data!H875</f>
        <v>0</v>
      </c>
      <c r="F875">
        <f>Raw_Data!G875</f>
        <v>0</v>
      </c>
      <c r="G875">
        <f>Raw_Data!E875</f>
        <v>2270.16</v>
      </c>
      <c r="H875">
        <f>Raw_Data!I875</f>
        <v>37083.61</v>
      </c>
      <c r="I875">
        <f>Raw_Data!J875</f>
        <v>0</v>
      </c>
      <c r="J875">
        <f t="shared" si="27"/>
        <v>2</v>
      </c>
      <c r="K875" t="str">
        <f t="shared" si="28"/>
        <v>Low Risk</v>
      </c>
    </row>
    <row r="876" spans="1:11" x14ac:dyDescent="0.35">
      <c r="A876">
        <f>Raw_Data!A876</f>
        <v>875</v>
      </c>
      <c r="B876">
        <f>Raw_Data!B876</f>
        <v>54</v>
      </c>
      <c r="C876">
        <f>Raw_Data!D876</f>
        <v>4</v>
      </c>
      <c r="D876">
        <f>Raw_Data!F876</f>
        <v>2</v>
      </c>
      <c r="E876">
        <f>Raw_Data!H876</f>
        <v>1</v>
      </c>
      <c r="F876">
        <f>Raw_Data!G876</f>
        <v>0</v>
      </c>
      <c r="G876">
        <f>Raw_Data!E876</f>
        <v>14501.46</v>
      </c>
      <c r="H876">
        <f>Raw_Data!I876</f>
        <v>54123.05</v>
      </c>
      <c r="I876">
        <f>Raw_Data!J876</f>
        <v>0</v>
      </c>
      <c r="J876">
        <f t="shared" si="27"/>
        <v>2</v>
      </c>
      <c r="K876" t="str">
        <f t="shared" si="28"/>
        <v>Low Risk</v>
      </c>
    </row>
    <row r="877" spans="1:11" x14ac:dyDescent="0.35">
      <c r="A877">
        <f>Raw_Data!A877</f>
        <v>876</v>
      </c>
      <c r="B877">
        <f>Raw_Data!B877</f>
        <v>38</v>
      </c>
      <c r="C877">
        <f>Raw_Data!D877</f>
        <v>4</v>
      </c>
      <c r="D877">
        <f>Raw_Data!F877</f>
        <v>3</v>
      </c>
      <c r="E877">
        <f>Raw_Data!H877</f>
        <v>0</v>
      </c>
      <c r="F877">
        <f>Raw_Data!G877</f>
        <v>1</v>
      </c>
      <c r="G877">
        <f>Raw_Data!E877</f>
        <v>46550.5</v>
      </c>
      <c r="H877">
        <f>Raw_Data!I877</f>
        <v>95558.01</v>
      </c>
      <c r="I877">
        <f>Raw_Data!J877</f>
        <v>0</v>
      </c>
      <c r="J877">
        <f t="shared" si="27"/>
        <v>5</v>
      </c>
      <c r="K877" t="str">
        <f t="shared" si="28"/>
        <v>High Risk</v>
      </c>
    </row>
    <row r="878" spans="1:11" x14ac:dyDescent="0.35">
      <c r="A878">
        <f>Raw_Data!A878</f>
        <v>877</v>
      </c>
      <c r="B878">
        <f>Raw_Data!B878</f>
        <v>31</v>
      </c>
      <c r="C878">
        <f>Raw_Data!D878</f>
        <v>20</v>
      </c>
      <c r="D878">
        <f>Raw_Data!F878</f>
        <v>1</v>
      </c>
      <c r="E878">
        <f>Raw_Data!H878</f>
        <v>1</v>
      </c>
      <c r="F878">
        <f>Raw_Data!G878</f>
        <v>0</v>
      </c>
      <c r="G878">
        <f>Raw_Data!E878</f>
        <v>19591.2</v>
      </c>
      <c r="H878">
        <f>Raw_Data!I878</f>
        <v>113361.83</v>
      </c>
      <c r="I878">
        <f>Raw_Data!J878</f>
        <v>0</v>
      </c>
      <c r="J878">
        <f t="shared" si="27"/>
        <v>0</v>
      </c>
      <c r="K878" t="str">
        <f t="shared" si="28"/>
        <v>Low Risk</v>
      </c>
    </row>
    <row r="879" spans="1:11" x14ac:dyDescent="0.35">
      <c r="A879">
        <f>Raw_Data!A879</f>
        <v>878</v>
      </c>
      <c r="B879">
        <f>Raw_Data!B879</f>
        <v>19</v>
      </c>
      <c r="C879">
        <f>Raw_Data!D879</f>
        <v>10</v>
      </c>
      <c r="D879">
        <f>Raw_Data!F879</f>
        <v>4</v>
      </c>
      <c r="E879">
        <f>Raw_Data!H879</f>
        <v>1</v>
      </c>
      <c r="F879">
        <f>Raw_Data!G879</f>
        <v>0</v>
      </c>
      <c r="G879">
        <f>Raw_Data!E879</f>
        <v>27335.03</v>
      </c>
      <c r="H879">
        <f>Raw_Data!I879</f>
        <v>36174.85</v>
      </c>
      <c r="I879">
        <f>Raw_Data!J879</f>
        <v>0</v>
      </c>
      <c r="J879">
        <f t="shared" si="27"/>
        <v>4</v>
      </c>
      <c r="K879" t="str">
        <f t="shared" si="28"/>
        <v>Medium Risk</v>
      </c>
    </row>
    <row r="880" spans="1:11" x14ac:dyDescent="0.35">
      <c r="A880">
        <f>Raw_Data!A880</f>
        <v>879</v>
      </c>
      <c r="B880">
        <f>Raw_Data!B880</f>
        <v>28</v>
      </c>
      <c r="C880">
        <f>Raw_Data!D880</f>
        <v>24</v>
      </c>
      <c r="D880">
        <f>Raw_Data!F880</f>
        <v>3</v>
      </c>
      <c r="E880">
        <f>Raw_Data!H880</f>
        <v>1</v>
      </c>
      <c r="F880">
        <f>Raw_Data!G880</f>
        <v>0</v>
      </c>
      <c r="G880">
        <f>Raw_Data!E880</f>
        <v>26601.08</v>
      </c>
      <c r="H880">
        <f>Raw_Data!I880</f>
        <v>97947.64</v>
      </c>
      <c r="I880">
        <f>Raw_Data!J880</f>
        <v>0</v>
      </c>
      <c r="J880">
        <f t="shared" si="27"/>
        <v>0</v>
      </c>
      <c r="K880" t="str">
        <f t="shared" si="28"/>
        <v>Low Risk</v>
      </c>
    </row>
    <row r="881" spans="1:11" x14ac:dyDescent="0.35">
      <c r="A881">
        <f>Raw_Data!A881</f>
        <v>880</v>
      </c>
      <c r="B881">
        <f>Raw_Data!B881</f>
        <v>68</v>
      </c>
      <c r="C881">
        <f>Raw_Data!D881</f>
        <v>26</v>
      </c>
      <c r="D881">
        <f>Raw_Data!F881</f>
        <v>4</v>
      </c>
      <c r="E881">
        <f>Raw_Data!H881</f>
        <v>1</v>
      </c>
      <c r="F881">
        <f>Raw_Data!G881</f>
        <v>1</v>
      </c>
      <c r="G881">
        <f>Raw_Data!E881</f>
        <v>29521.55</v>
      </c>
      <c r="H881">
        <f>Raw_Data!I881</f>
        <v>91545.67</v>
      </c>
      <c r="I881">
        <f>Raw_Data!J881</f>
        <v>0</v>
      </c>
      <c r="J881">
        <f t="shared" si="27"/>
        <v>3</v>
      </c>
      <c r="K881" t="str">
        <f t="shared" si="28"/>
        <v>Medium Risk</v>
      </c>
    </row>
    <row r="882" spans="1:11" x14ac:dyDescent="0.35">
      <c r="A882">
        <f>Raw_Data!A882</f>
        <v>881</v>
      </c>
      <c r="B882">
        <f>Raw_Data!B882</f>
        <v>56</v>
      </c>
      <c r="C882">
        <f>Raw_Data!D882</f>
        <v>37</v>
      </c>
      <c r="D882">
        <f>Raw_Data!F882</f>
        <v>1</v>
      </c>
      <c r="E882">
        <f>Raw_Data!H882</f>
        <v>1</v>
      </c>
      <c r="F882">
        <f>Raw_Data!G882</f>
        <v>1</v>
      </c>
      <c r="G882">
        <f>Raw_Data!E882</f>
        <v>3066.55</v>
      </c>
      <c r="H882">
        <f>Raw_Data!I882</f>
        <v>86814.21</v>
      </c>
      <c r="I882">
        <f>Raw_Data!J882</f>
        <v>0</v>
      </c>
      <c r="J882">
        <f t="shared" si="27"/>
        <v>1</v>
      </c>
      <c r="K882" t="str">
        <f t="shared" si="28"/>
        <v>Low Risk</v>
      </c>
    </row>
    <row r="883" spans="1:11" x14ac:dyDescent="0.35">
      <c r="A883">
        <f>Raw_Data!A883</f>
        <v>882</v>
      </c>
      <c r="B883">
        <f>Raw_Data!B883</f>
        <v>55</v>
      </c>
      <c r="C883">
        <f>Raw_Data!D883</f>
        <v>54</v>
      </c>
      <c r="D883">
        <f>Raw_Data!F883</f>
        <v>3</v>
      </c>
      <c r="E883">
        <f>Raw_Data!H883</f>
        <v>1</v>
      </c>
      <c r="F883">
        <f>Raw_Data!G883</f>
        <v>1</v>
      </c>
      <c r="G883">
        <f>Raw_Data!E883</f>
        <v>18108.810000000001</v>
      </c>
      <c r="H883">
        <f>Raw_Data!I883</f>
        <v>109716.01</v>
      </c>
      <c r="I883">
        <f>Raw_Data!J883</f>
        <v>0</v>
      </c>
      <c r="J883">
        <f t="shared" si="27"/>
        <v>0</v>
      </c>
      <c r="K883" t="str">
        <f t="shared" si="28"/>
        <v>Low Risk</v>
      </c>
    </row>
    <row r="884" spans="1:11" x14ac:dyDescent="0.35">
      <c r="A884">
        <f>Raw_Data!A884</f>
        <v>883</v>
      </c>
      <c r="B884">
        <f>Raw_Data!B884</f>
        <v>51</v>
      </c>
      <c r="C884">
        <f>Raw_Data!D884</f>
        <v>21</v>
      </c>
      <c r="D884">
        <f>Raw_Data!F884</f>
        <v>4</v>
      </c>
      <c r="E884">
        <f>Raw_Data!H884</f>
        <v>0</v>
      </c>
      <c r="F884">
        <f>Raw_Data!G884</f>
        <v>0</v>
      </c>
      <c r="G884">
        <f>Raw_Data!E884</f>
        <v>36156.410000000003</v>
      </c>
      <c r="H884">
        <f>Raw_Data!I884</f>
        <v>128868.45</v>
      </c>
      <c r="I884">
        <f>Raw_Data!J884</f>
        <v>0</v>
      </c>
      <c r="J884">
        <f t="shared" si="27"/>
        <v>4</v>
      </c>
      <c r="K884" t="str">
        <f t="shared" si="28"/>
        <v>Medium Risk</v>
      </c>
    </row>
    <row r="885" spans="1:11" x14ac:dyDescent="0.35">
      <c r="A885">
        <f>Raw_Data!A885</f>
        <v>884</v>
      </c>
      <c r="B885">
        <f>Raw_Data!B885</f>
        <v>55</v>
      </c>
      <c r="C885">
        <f>Raw_Data!D885</f>
        <v>38</v>
      </c>
      <c r="D885">
        <f>Raw_Data!F885</f>
        <v>4</v>
      </c>
      <c r="E885">
        <f>Raw_Data!H885</f>
        <v>1</v>
      </c>
      <c r="F885">
        <f>Raw_Data!G885</f>
        <v>1</v>
      </c>
      <c r="G885">
        <f>Raw_Data!E885</f>
        <v>10028.01</v>
      </c>
      <c r="H885">
        <f>Raw_Data!I885</f>
        <v>61988.66</v>
      </c>
      <c r="I885">
        <f>Raw_Data!J885</f>
        <v>0</v>
      </c>
      <c r="J885">
        <f t="shared" si="27"/>
        <v>2</v>
      </c>
      <c r="K885" t="str">
        <f t="shared" si="28"/>
        <v>Low Risk</v>
      </c>
    </row>
    <row r="886" spans="1:11" x14ac:dyDescent="0.35">
      <c r="A886">
        <f>Raw_Data!A886</f>
        <v>885</v>
      </c>
      <c r="B886">
        <f>Raw_Data!B886</f>
        <v>67</v>
      </c>
      <c r="C886">
        <f>Raw_Data!D886</f>
        <v>46</v>
      </c>
      <c r="D886">
        <f>Raw_Data!F886</f>
        <v>2</v>
      </c>
      <c r="E886">
        <f>Raw_Data!H886</f>
        <v>0</v>
      </c>
      <c r="F886">
        <f>Raw_Data!G886</f>
        <v>0</v>
      </c>
      <c r="G886">
        <f>Raw_Data!E886</f>
        <v>10178.92</v>
      </c>
      <c r="H886">
        <f>Raw_Data!I886</f>
        <v>135571.57999999999</v>
      </c>
      <c r="I886">
        <f>Raw_Data!J886</f>
        <v>0</v>
      </c>
      <c r="J886">
        <f t="shared" si="27"/>
        <v>3</v>
      </c>
      <c r="K886" t="str">
        <f t="shared" si="28"/>
        <v>Medium Risk</v>
      </c>
    </row>
    <row r="887" spans="1:11" x14ac:dyDescent="0.35">
      <c r="A887">
        <f>Raw_Data!A887</f>
        <v>886</v>
      </c>
      <c r="B887">
        <f>Raw_Data!B887</f>
        <v>51</v>
      </c>
      <c r="C887">
        <f>Raw_Data!D887</f>
        <v>4</v>
      </c>
      <c r="D887">
        <f>Raw_Data!F887</f>
        <v>2</v>
      </c>
      <c r="E887">
        <f>Raw_Data!H887</f>
        <v>1</v>
      </c>
      <c r="F887">
        <f>Raw_Data!G887</f>
        <v>0</v>
      </c>
      <c r="G887">
        <f>Raw_Data!E887</f>
        <v>504.53</v>
      </c>
      <c r="H887">
        <f>Raw_Data!I887</f>
        <v>40882.370000000003</v>
      </c>
      <c r="I887">
        <f>Raw_Data!J887</f>
        <v>0</v>
      </c>
      <c r="J887">
        <f t="shared" si="27"/>
        <v>2</v>
      </c>
      <c r="K887" t="str">
        <f t="shared" si="28"/>
        <v>Low Risk</v>
      </c>
    </row>
    <row r="888" spans="1:11" x14ac:dyDescent="0.35">
      <c r="A888">
        <f>Raw_Data!A888</f>
        <v>887</v>
      </c>
      <c r="B888">
        <f>Raw_Data!B888</f>
        <v>35</v>
      </c>
      <c r="C888">
        <f>Raw_Data!D888</f>
        <v>60</v>
      </c>
      <c r="D888">
        <f>Raw_Data!F888</f>
        <v>2</v>
      </c>
      <c r="E888">
        <f>Raw_Data!H888</f>
        <v>1</v>
      </c>
      <c r="F888">
        <f>Raw_Data!G888</f>
        <v>0</v>
      </c>
      <c r="G888">
        <f>Raw_Data!E888</f>
        <v>21874.1</v>
      </c>
      <c r="H888">
        <f>Raw_Data!I888</f>
        <v>42493.1</v>
      </c>
      <c r="I888">
        <f>Raw_Data!J888</f>
        <v>0</v>
      </c>
      <c r="J888">
        <f t="shared" si="27"/>
        <v>0</v>
      </c>
      <c r="K888" t="str">
        <f t="shared" si="28"/>
        <v>Low Risk</v>
      </c>
    </row>
    <row r="889" spans="1:11" x14ac:dyDescent="0.35">
      <c r="A889">
        <f>Raw_Data!A889</f>
        <v>888</v>
      </c>
      <c r="B889">
        <f>Raw_Data!B889</f>
        <v>47</v>
      </c>
      <c r="C889">
        <f>Raw_Data!D889</f>
        <v>57</v>
      </c>
      <c r="D889">
        <f>Raw_Data!F889</f>
        <v>3</v>
      </c>
      <c r="E889">
        <f>Raw_Data!H889</f>
        <v>1</v>
      </c>
      <c r="F889">
        <f>Raw_Data!G889</f>
        <v>1</v>
      </c>
      <c r="G889">
        <f>Raw_Data!E889</f>
        <v>44136.72</v>
      </c>
      <c r="H889">
        <f>Raw_Data!I889</f>
        <v>54680.37</v>
      </c>
      <c r="I889">
        <f>Raw_Data!J889</f>
        <v>0</v>
      </c>
      <c r="J889">
        <f t="shared" si="27"/>
        <v>1</v>
      </c>
      <c r="K889" t="str">
        <f t="shared" si="28"/>
        <v>Low Risk</v>
      </c>
    </row>
    <row r="890" spans="1:11" x14ac:dyDescent="0.35">
      <c r="A890">
        <f>Raw_Data!A890</f>
        <v>889</v>
      </c>
      <c r="B890">
        <f>Raw_Data!B890</f>
        <v>32</v>
      </c>
      <c r="C890">
        <f>Raw_Data!D890</f>
        <v>45</v>
      </c>
      <c r="D890">
        <f>Raw_Data!F890</f>
        <v>1</v>
      </c>
      <c r="E890">
        <f>Raw_Data!H890</f>
        <v>0</v>
      </c>
      <c r="F890">
        <f>Raw_Data!G890</f>
        <v>1</v>
      </c>
      <c r="G890">
        <f>Raw_Data!E890</f>
        <v>2595.0500000000002</v>
      </c>
      <c r="H890">
        <f>Raw_Data!I890</f>
        <v>35539.01</v>
      </c>
      <c r="I890">
        <f>Raw_Data!J890</f>
        <v>0</v>
      </c>
      <c r="J890">
        <f t="shared" si="27"/>
        <v>2</v>
      </c>
      <c r="K890" t="str">
        <f t="shared" si="28"/>
        <v>Low Risk</v>
      </c>
    </row>
    <row r="891" spans="1:11" x14ac:dyDescent="0.35">
      <c r="A891">
        <f>Raw_Data!A891</f>
        <v>890</v>
      </c>
      <c r="B891">
        <f>Raw_Data!B891</f>
        <v>44</v>
      </c>
      <c r="C891">
        <f>Raw_Data!D891</f>
        <v>20</v>
      </c>
      <c r="D891">
        <f>Raw_Data!F891</f>
        <v>1</v>
      </c>
      <c r="E891">
        <f>Raw_Data!H891</f>
        <v>0</v>
      </c>
      <c r="F891">
        <f>Raw_Data!G891</f>
        <v>1</v>
      </c>
      <c r="G891">
        <f>Raw_Data!E891</f>
        <v>9555.94</v>
      </c>
      <c r="H891">
        <f>Raw_Data!I891</f>
        <v>49941.5</v>
      </c>
      <c r="I891">
        <f>Raw_Data!J891</f>
        <v>0</v>
      </c>
      <c r="J891">
        <f t="shared" si="27"/>
        <v>2</v>
      </c>
      <c r="K891" t="str">
        <f t="shared" si="28"/>
        <v>Low Risk</v>
      </c>
    </row>
    <row r="892" spans="1:11" x14ac:dyDescent="0.35">
      <c r="A892">
        <f>Raw_Data!A892</f>
        <v>891</v>
      </c>
      <c r="B892">
        <f>Raw_Data!B892</f>
        <v>68</v>
      </c>
      <c r="C892">
        <f>Raw_Data!D892</f>
        <v>17</v>
      </c>
      <c r="D892">
        <f>Raw_Data!F892</f>
        <v>2</v>
      </c>
      <c r="E892">
        <f>Raw_Data!H892</f>
        <v>1</v>
      </c>
      <c r="F892">
        <f>Raw_Data!G892</f>
        <v>1</v>
      </c>
      <c r="G892">
        <f>Raw_Data!E892</f>
        <v>15504.23</v>
      </c>
      <c r="H892">
        <f>Raw_Data!I892</f>
        <v>33833.53</v>
      </c>
      <c r="I892">
        <f>Raw_Data!J892</f>
        <v>0</v>
      </c>
      <c r="J892">
        <f t="shared" si="27"/>
        <v>1</v>
      </c>
      <c r="K892" t="str">
        <f t="shared" si="28"/>
        <v>Low Risk</v>
      </c>
    </row>
    <row r="893" spans="1:11" x14ac:dyDescent="0.35">
      <c r="A893">
        <f>Raw_Data!A893</f>
        <v>892</v>
      </c>
      <c r="B893">
        <f>Raw_Data!B893</f>
        <v>51</v>
      </c>
      <c r="C893">
        <f>Raw_Data!D893</f>
        <v>71</v>
      </c>
      <c r="D893">
        <f>Raw_Data!F893</f>
        <v>2</v>
      </c>
      <c r="E893">
        <f>Raw_Data!H893</f>
        <v>0</v>
      </c>
      <c r="F893">
        <f>Raw_Data!G893</f>
        <v>0</v>
      </c>
      <c r="G893">
        <f>Raw_Data!E893</f>
        <v>36586.239999999998</v>
      </c>
      <c r="H893">
        <f>Raw_Data!I893</f>
        <v>126827.81</v>
      </c>
      <c r="I893">
        <f>Raw_Data!J893</f>
        <v>0</v>
      </c>
      <c r="J893">
        <f t="shared" si="27"/>
        <v>2</v>
      </c>
      <c r="K893" t="str">
        <f t="shared" si="28"/>
        <v>Low Risk</v>
      </c>
    </row>
    <row r="894" spans="1:11" x14ac:dyDescent="0.35">
      <c r="A894">
        <f>Raw_Data!A894</f>
        <v>893</v>
      </c>
      <c r="B894">
        <f>Raw_Data!B894</f>
        <v>69</v>
      </c>
      <c r="C894">
        <f>Raw_Data!D894</f>
        <v>4</v>
      </c>
      <c r="D894">
        <f>Raw_Data!F894</f>
        <v>2</v>
      </c>
      <c r="E894">
        <f>Raw_Data!H894</f>
        <v>1</v>
      </c>
      <c r="F894">
        <f>Raw_Data!G894</f>
        <v>1</v>
      </c>
      <c r="G894">
        <f>Raw_Data!E894</f>
        <v>32031.78</v>
      </c>
      <c r="H894">
        <f>Raw_Data!I894</f>
        <v>38065.97</v>
      </c>
      <c r="I894">
        <f>Raw_Data!J894</f>
        <v>0</v>
      </c>
      <c r="J894">
        <f t="shared" si="27"/>
        <v>3</v>
      </c>
      <c r="K894" t="str">
        <f t="shared" si="28"/>
        <v>Medium Risk</v>
      </c>
    </row>
    <row r="895" spans="1:11" x14ac:dyDescent="0.35">
      <c r="A895">
        <f>Raw_Data!A895</f>
        <v>894</v>
      </c>
      <c r="B895">
        <f>Raw_Data!B895</f>
        <v>55</v>
      </c>
      <c r="C895">
        <f>Raw_Data!D895</f>
        <v>14</v>
      </c>
      <c r="D895">
        <f>Raw_Data!F895</f>
        <v>4</v>
      </c>
      <c r="E895">
        <f>Raw_Data!H895</f>
        <v>1</v>
      </c>
      <c r="F895">
        <f>Raw_Data!G895</f>
        <v>0</v>
      </c>
      <c r="G895">
        <f>Raw_Data!E895</f>
        <v>20797.2</v>
      </c>
      <c r="H895">
        <f>Raw_Data!I895</f>
        <v>117148.68</v>
      </c>
      <c r="I895">
        <f>Raw_Data!J895</f>
        <v>0</v>
      </c>
      <c r="J895">
        <f t="shared" si="27"/>
        <v>2</v>
      </c>
      <c r="K895" t="str">
        <f t="shared" si="28"/>
        <v>Low Risk</v>
      </c>
    </row>
    <row r="896" spans="1:11" x14ac:dyDescent="0.35">
      <c r="A896">
        <f>Raw_Data!A896</f>
        <v>895</v>
      </c>
      <c r="B896">
        <f>Raw_Data!B896</f>
        <v>50</v>
      </c>
      <c r="C896">
        <f>Raw_Data!D896</f>
        <v>3</v>
      </c>
      <c r="D896">
        <f>Raw_Data!F896</f>
        <v>2</v>
      </c>
      <c r="E896">
        <f>Raw_Data!H896</f>
        <v>0</v>
      </c>
      <c r="F896">
        <f>Raw_Data!G896</f>
        <v>1</v>
      </c>
      <c r="G896">
        <f>Raw_Data!E896</f>
        <v>37953.449999999997</v>
      </c>
      <c r="H896">
        <f>Raw_Data!I896</f>
        <v>26228.799999999999</v>
      </c>
      <c r="I896">
        <f>Raw_Data!J896</f>
        <v>0</v>
      </c>
      <c r="J896">
        <f t="shared" si="27"/>
        <v>4</v>
      </c>
      <c r="K896" t="str">
        <f t="shared" si="28"/>
        <v>Medium Risk</v>
      </c>
    </row>
    <row r="897" spans="1:11" x14ac:dyDescent="0.35">
      <c r="A897">
        <f>Raw_Data!A897</f>
        <v>896</v>
      </c>
      <c r="B897">
        <f>Raw_Data!B897</f>
        <v>41</v>
      </c>
      <c r="C897">
        <f>Raw_Data!D897</f>
        <v>58</v>
      </c>
      <c r="D897">
        <f>Raw_Data!F897</f>
        <v>4</v>
      </c>
      <c r="E897">
        <f>Raw_Data!H897</f>
        <v>0</v>
      </c>
      <c r="F897">
        <f>Raw_Data!G897</f>
        <v>1</v>
      </c>
      <c r="G897">
        <f>Raw_Data!E897</f>
        <v>30481.55</v>
      </c>
      <c r="H897">
        <f>Raw_Data!I897</f>
        <v>143307.64000000001</v>
      </c>
      <c r="I897">
        <f>Raw_Data!J897</f>
        <v>0</v>
      </c>
      <c r="J897">
        <f t="shared" si="27"/>
        <v>4</v>
      </c>
      <c r="K897" t="str">
        <f t="shared" si="28"/>
        <v>Medium Risk</v>
      </c>
    </row>
    <row r="898" spans="1:11" x14ac:dyDescent="0.35">
      <c r="A898">
        <f>Raw_Data!A898</f>
        <v>897</v>
      </c>
      <c r="B898">
        <f>Raw_Data!B898</f>
        <v>32</v>
      </c>
      <c r="C898">
        <f>Raw_Data!D898</f>
        <v>55</v>
      </c>
      <c r="D898">
        <f>Raw_Data!F898</f>
        <v>1</v>
      </c>
      <c r="E898">
        <f>Raw_Data!H898</f>
        <v>0</v>
      </c>
      <c r="F898">
        <f>Raw_Data!G898</f>
        <v>1</v>
      </c>
      <c r="G898">
        <f>Raw_Data!E898</f>
        <v>44802.04</v>
      </c>
      <c r="H898">
        <f>Raw_Data!I898</f>
        <v>112450.81</v>
      </c>
      <c r="I898">
        <f>Raw_Data!J898</f>
        <v>0</v>
      </c>
      <c r="J898">
        <f t="shared" si="27"/>
        <v>3</v>
      </c>
      <c r="K898" t="str">
        <f t="shared" si="28"/>
        <v>Medium Risk</v>
      </c>
    </row>
    <row r="899" spans="1:11" x14ac:dyDescent="0.35">
      <c r="A899">
        <f>Raw_Data!A899</f>
        <v>898</v>
      </c>
      <c r="B899">
        <f>Raw_Data!B899</f>
        <v>47</v>
      </c>
      <c r="C899">
        <f>Raw_Data!D899</f>
        <v>4</v>
      </c>
      <c r="D899">
        <f>Raw_Data!F899</f>
        <v>3</v>
      </c>
      <c r="E899">
        <f>Raw_Data!H899</f>
        <v>0</v>
      </c>
      <c r="F899">
        <f>Raw_Data!G899</f>
        <v>0</v>
      </c>
      <c r="G899">
        <f>Raw_Data!E899</f>
        <v>40901.339999999997</v>
      </c>
      <c r="H899">
        <f>Raw_Data!I899</f>
        <v>20883.55</v>
      </c>
      <c r="I899">
        <f>Raw_Data!J899</f>
        <v>0</v>
      </c>
      <c r="J899">
        <f t="shared" ref="J899:J962" si="29">IF(E899=0,2,0)+IF(D899=4,2,0)+IF(C899&lt;=12,2,0)+IF(B899&gt;=56,1,0)+IF(G899&gt;=40000,1,0)</f>
        <v>5</v>
      </c>
      <c r="K899" t="str">
        <f t="shared" ref="K899:K962" si="30">IF(J899&gt;=5,"High Risk",IF(J899&gt;=3,"Medium Risk","Low Risk"))</f>
        <v>High Risk</v>
      </c>
    </row>
    <row r="900" spans="1:11" x14ac:dyDescent="0.35">
      <c r="A900">
        <f>Raw_Data!A900</f>
        <v>899</v>
      </c>
      <c r="B900">
        <f>Raw_Data!B900</f>
        <v>59</v>
      </c>
      <c r="C900">
        <f>Raw_Data!D900</f>
        <v>24</v>
      </c>
      <c r="D900">
        <f>Raw_Data!F900</f>
        <v>3</v>
      </c>
      <c r="E900">
        <f>Raw_Data!H900</f>
        <v>1</v>
      </c>
      <c r="F900">
        <f>Raw_Data!G900</f>
        <v>0</v>
      </c>
      <c r="G900">
        <f>Raw_Data!E900</f>
        <v>12640.68</v>
      </c>
      <c r="H900">
        <f>Raw_Data!I900</f>
        <v>119301.35</v>
      </c>
      <c r="I900">
        <f>Raw_Data!J900</f>
        <v>0</v>
      </c>
      <c r="J900">
        <f t="shared" si="29"/>
        <v>1</v>
      </c>
      <c r="K900" t="str">
        <f t="shared" si="30"/>
        <v>Low Risk</v>
      </c>
    </row>
    <row r="901" spans="1:11" x14ac:dyDescent="0.35">
      <c r="A901">
        <f>Raw_Data!A901</f>
        <v>900</v>
      </c>
      <c r="B901">
        <f>Raw_Data!B901</f>
        <v>68</v>
      </c>
      <c r="C901">
        <f>Raw_Data!D901</f>
        <v>34</v>
      </c>
      <c r="D901">
        <f>Raw_Data!F901</f>
        <v>3</v>
      </c>
      <c r="E901">
        <f>Raw_Data!H901</f>
        <v>0</v>
      </c>
      <c r="F901">
        <f>Raw_Data!G901</f>
        <v>0</v>
      </c>
      <c r="G901">
        <f>Raw_Data!E901</f>
        <v>13571.93</v>
      </c>
      <c r="H901">
        <f>Raw_Data!I901</f>
        <v>86830.65</v>
      </c>
      <c r="I901">
        <f>Raw_Data!J901</f>
        <v>0</v>
      </c>
      <c r="J901">
        <f t="shared" si="29"/>
        <v>3</v>
      </c>
      <c r="K901" t="str">
        <f t="shared" si="30"/>
        <v>Medium Risk</v>
      </c>
    </row>
    <row r="902" spans="1:11" x14ac:dyDescent="0.35">
      <c r="A902">
        <f>Raw_Data!A902</f>
        <v>901</v>
      </c>
      <c r="B902">
        <f>Raw_Data!B902</f>
        <v>34</v>
      </c>
      <c r="C902">
        <f>Raw_Data!D902</f>
        <v>30</v>
      </c>
      <c r="D902">
        <f>Raw_Data!F902</f>
        <v>3</v>
      </c>
      <c r="E902">
        <f>Raw_Data!H902</f>
        <v>0</v>
      </c>
      <c r="F902">
        <f>Raw_Data!G902</f>
        <v>0</v>
      </c>
      <c r="G902">
        <f>Raw_Data!E902</f>
        <v>6267.82</v>
      </c>
      <c r="H902">
        <f>Raw_Data!I902</f>
        <v>121317.47</v>
      </c>
      <c r="I902">
        <f>Raw_Data!J902</f>
        <v>0</v>
      </c>
      <c r="J902">
        <f t="shared" si="29"/>
        <v>2</v>
      </c>
      <c r="K902" t="str">
        <f t="shared" si="30"/>
        <v>Low Risk</v>
      </c>
    </row>
    <row r="903" spans="1:11" x14ac:dyDescent="0.35">
      <c r="A903">
        <f>Raw_Data!A903</f>
        <v>902</v>
      </c>
      <c r="B903">
        <f>Raw_Data!B903</f>
        <v>22</v>
      </c>
      <c r="C903">
        <f>Raw_Data!D903</f>
        <v>19</v>
      </c>
      <c r="D903">
        <f>Raw_Data!F903</f>
        <v>4</v>
      </c>
      <c r="E903">
        <f>Raw_Data!H903</f>
        <v>1</v>
      </c>
      <c r="F903">
        <f>Raw_Data!G903</f>
        <v>0</v>
      </c>
      <c r="G903">
        <f>Raw_Data!E903</f>
        <v>16848.240000000002</v>
      </c>
      <c r="H903">
        <f>Raw_Data!I903</f>
        <v>87924.59</v>
      </c>
      <c r="I903">
        <f>Raw_Data!J903</f>
        <v>0</v>
      </c>
      <c r="J903">
        <f t="shared" si="29"/>
        <v>2</v>
      </c>
      <c r="K903" t="str">
        <f t="shared" si="30"/>
        <v>Low Risk</v>
      </c>
    </row>
    <row r="904" spans="1:11" x14ac:dyDescent="0.35">
      <c r="A904">
        <f>Raw_Data!A904</f>
        <v>903</v>
      </c>
      <c r="B904">
        <f>Raw_Data!B904</f>
        <v>46</v>
      </c>
      <c r="C904">
        <f>Raw_Data!D904</f>
        <v>31</v>
      </c>
      <c r="D904">
        <f>Raw_Data!F904</f>
        <v>4</v>
      </c>
      <c r="E904">
        <f>Raw_Data!H904</f>
        <v>0</v>
      </c>
      <c r="F904">
        <f>Raw_Data!G904</f>
        <v>1</v>
      </c>
      <c r="G904">
        <f>Raw_Data!E904</f>
        <v>49977.2</v>
      </c>
      <c r="H904">
        <f>Raw_Data!I904</f>
        <v>103333.23</v>
      </c>
      <c r="I904">
        <f>Raw_Data!J904</f>
        <v>0</v>
      </c>
      <c r="J904">
        <f t="shared" si="29"/>
        <v>5</v>
      </c>
      <c r="K904" t="str">
        <f t="shared" si="30"/>
        <v>High Risk</v>
      </c>
    </row>
    <row r="905" spans="1:11" x14ac:dyDescent="0.35">
      <c r="A905">
        <f>Raw_Data!A905</f>
        <v>904</v>
      </c>
      <c r="B905">
        <f>Raw_Data!B905</f>
        <v>21</v>
      </c>
      <c r="C905">
        <f>Raw_Data!D905</f>
        <v>60</v>
      </c>
      <c r="D905">
        <f>Raw_Data!F905</f>
        <v>2</v>
      </c>
      <c r="E905">
        <f>Raw_Data!H905</f>
        <v>0</v>
      </c>
      <c r="F905">
        <f>Raw_Data!G905</f>
        <v>0</v>
      </c>
      <c r="G905">
        <f>Raw_Data!E905</f>
        <v>20287.560000000001</v>
      </c>
      <c r="H905">
        <f>Raw_Data!I905</f>
        <v>122223.12</v>
      </c>
      <c r="I905">
        <f>Raw_Data!J905</f>
        <v>0</v>
      </c>
      <c r="J905">
        <f t="shared" si="29"/>
        <v>2</v>
      </c>
      <c r="K905" t="str">
        <f t="shared" si="30"/>
        <v>Low Risk</v>
      </c>
    </row>
    <row r="906" spans="1:11" x14ac:dyDescent="0.35">
      <c r="A906">
        <f>Raw_Data!A906</f>
        <v>905</v>
      </c>
      <c r="B906">
        <f>Raw_Data!B906</f>
        <v>27</v>
      </c>
      <c r="C906">
        <f>Raw_Data!D906</f>
        <v>60</v>
      </c>
      <c r="D906">
        <f>Raw_Data!F906</f>
        <v>4</v>
      </c>
      <c r="E906">
        <f>Raw_Data!H906</f>
        <v>0</v>
      </c>
      <c r="F906">
        <f>Raw_Data!G906</f>
        <v>0</v>
      </c>
      <c r="G906">
        <f>Raw_Data!E906</f>
        <v>11024.42</v>
      </c>
      <c r="H906">
        <f>Raw_Data!I906</f>
        <v>72664.05</v>
      </c>
      <c r="I906">
        <f>Raw_Data!J906</f>
        <v>0</v>
      </c>
      <c r="J906">
        <f t="shared" si="29"/>
        <v>4</v>
      </c>
      <c r="K906" t="str">
        <f t="shared" si="30"/>
        <v>Medium Risk</v>
      </c>
    </row>
    <row r="907" spans="1:11" x14ac:dyDescent="0.35">
      <c r="A907">
        <f>Raw_Data!A907</f>
        <v>906</v>
      </c>
      <c r="B907">
        <f>Raw_Data!B907</f>
        <v>34</v>
      </c>
      <c r="C907">
        <f>Raw_Data!D907</f>
        <v>19</v>
      </c>
      <c r="D907">
        <f>Raw_Data!F907</f>
        <v>2</v>
      </c>
      <c r="E907">
        <f>Raw_Data!H907</f>
        <v>0</v>
      </c>
      <c r="F907">
        <f>Raw_Data!G907</f>
        <v>0</v>
      </c>
      <c r="G907">
        <f>Raw_Data!E907</f>
        <v>38124.14</v>
      </c>
      <c r="H907">
        <f>Raw_Data!I907</f>
        <v>20352.060000000001</v>
      </c>
      <c r="I907">
        <f>Raw_Data!J907</f>
        <v>0</v>
      </c>
      <c r="J907">
        <f t="shared" si="29"/>
        <v>2</v>
      </c>
      <c r="K907" t="str">
        <f t="shared" si="30"/>
        <v>Low Risk</v>
      </c>
    </row>
    <row r="908" spans="1:11" x14ac:dyDescent="0.35">
      <c r="A908">
        <f>Raw_Data!A908</f>
        <v>907</v>
      </c>
      <c r="B908">
        <f>Raw_Data!B908</f>
        <v>27</v>
      </c>
      <c r="C908">
        <f>Raw_Data!D908</f>
        <v>49</v>
      </c>
      <c r="D908">
        <f>Raw_Data!F908</f>
        <v>2</v>
      </c>
      <c r="E908">
        <f>Raw_Data!H908</f>
        <v>1</v>
      </c>
      <c r="F908">
        <f>Raw_Data!G908</f>
        <v>0</v>
      </c>
      <c r="G908">
        <f>Raw_Data!E908</f>
        <v>27123.55</v>
      </c>
      <c r="H908">
        <f>Raw_Data!I908</f>
        <v>130493.04</v>
      </c>
      <c r="I908">
        <f>Raw_Data!J908</f>
        <v>0</v>
      </c>
      <c r="J908">
        <f t="shared" si="29"/>
        <v>0</v>
      </c>
      <c r="K908" t="str">
        <f t="shared" si="30"/>
        <v>Low Risk</v>
      </c>
    </row>
    <row r="909" spans="1:11" x14ac:dyDescent="0.35">
      <c r="A909">
        <f>Raw_Data!A909</f>
        <v>908</v>
      </c>
      <c r="B909">
        <f>Raw_Data!B909</f>
        <v>34</v>
      </c>
      <c r="C909">
        <f>Raw_Data!D909</f>
        <v>63</v>
      </c>
      <c r="D909">
        <f>Raw_Data!F909</f>
        <v>3</v>
      </c>
      <c r="E909">
        <f>Raw_Data!H909</f>
        <v>1</v>
      </c>
      <c r="F909">
        <f>Raw_Data!G909</f>
        <v>1</v>
      </c>
      <c r="G909">
        <f>Raw_Data!E909</f>
        <v>7480.07</v>
      </c>
      <c r="H909">
        <f>Raw_Data!I909</f>
        <v>69515.75</v>
      </c>
      <c r="I909">
        <f>Raw_Data!J909</f>
        <v>0</v>
      </c>
      <c r="J909">
        <f t="shared" si="29"/>
        <v>0</v>
      </c>
      <c r="K909" t="str">
        <f t="shared" si="30"/>
        <v>Low Risk</v>
      </c>
    </row>
    <row r="910" spans="1:11" x14ac:dyDescent="0.35">
      <c r="A910">
        <f>Raw_Data!A910</f>
        <v>909</v>
      </c>
      <c r="B910">
        <f>Raw_Data!B910</f>
        <v>37</v>
      </c>
      <c r="C910">
        <f>Raw_Data!D910</f>
        <v>22</v>
      </c>
      <c r="D910">
        <f>Raw_Data!F910</f>
        <v>4</v>
      </c>
      <c r="E910">
        <f>Raw_Data!H910</f>
        <v>0</v>
      </c>
      <c r="F910">
        <f>Raw_Data!G910</f>
        <v>0</v>
      </c>
      <c r="G910">
        <f>Raw_Data!E910</f>
        <v>19034.48</v>
      </c>
      <c r="H910">
        <f>Raw_Data!I910</f>
        <v>84485.55</v>
      </c>
      <c r="I910">
        <f>Raw_Data!J910</f>
        <v>0</v>
      </c>
      <c r="J910">
        <f t="shared" si="29"/>
        <v>4</v>
      </c>
      <c r="K910" t="str">
        <f t="shared" si="30"/>
        <v>Medium Risk</v>
      </c>
    </row>
    <row r="911" spans="1:11" x14ac:dyDescent="0.35">
      <c r="A911">
        <f>Raw_Data!A911</f>
        <v>910</v>
      </c>
      <c r="B911">
        <f>Raw_Data!B911</f>
        <v>41</v>
      </c>
      <c r="C911">
        <f>Raw_Data!D911</f>
        <v>24</v>
      </c>
      <c r="D911">
        <f>Raw_Data!F911</f>
        <v>4</v>
      </c>
      <c r="E911">
        <f>Raw_Data!H911</f>
        <v>0</v>
      </c>
      <c r="F911">
        <f>Raw_Data!G911</f>
        <v>1</v>
      </c>
      <c r="G911">
        <f>Raw_Data!E911</f>
        <v>20723.490000000002</v>
      </c>
      <c r="H911">
        <f>Raw_Data!I911</f>
        <v>21009.66</v>
      </c>
      <c r="I911">
        <f>Raw_Data!J911</f>
        <v>0</v>
      </c>
      <c r="J911">
        <f t="shared" si="29"/>
        <v>4</v>
      </c>
      <c r="K911" t="str">
        <f t="shared" si="30"/>
        <v>Medium Risk</v>
      </c>
    </row>
    <row r="912" spans="1:11" x14ac:dyDescent="0.35">
      <c r="A912">
        <f>Raw_Data!A912</f>
        <v>911</v>
      </c>
      <c r="B912">
        <f>Raw_Data!B912</f>
        <v>22</v>
      </c>
      <c r="C912">
        <f>Raw_Data!D912</f>
        <v>30</v>
      </c>
      <c r="D912">
        <f>Raw_Data!F912</f>
        <v>2</v>
      </c>
      <c r="E912">
        <f>Raw_Data!H912</f>
        <v>1</v>
      </c>
      <c r="F912">
        <f>Raw_Data!G912</f>
        <v>1</v>
      </c>
      <c r="G912">
        <f>Raw_Data!E912</f>
        <v>37691.49</v>
      </c>
      <c r="H912">
        <f>Raw_Data!I912</f>
        <v>83971.96</v>
      </c>
      <c r="I912">
        <f>Raw_Data!J912</f>
        <v>0</v>
      </c>
      <c r="J912">
        <f t="shared" si="29"/>
        <v>0</v>
      </c>
      <c r="K912" t="str">
        <f t="shared" si="30"/>
        <v>Low Risk</v>
      </c>
    </row>
    <row r="913" spans="1:11" x14ac:dyDescent="0.35">
      <c r="A913">
        <f>Raw_Data!A913</f>
        <v>912</v>
      </c>
      <c r="B913">
        <f>Raw_Data!B913</f>
        <v>51</v>
      </c>
      <c r="C913">
        <f>Raw_Data!D913</f>
        <v>58</v>
      </c>
      <c r="D913">
        <f>Raw_Data!F913</f>
        <v>2</v>
      </c>
      <c r="E913">
        <f>Raw_Data!H913</f>
        <v>0</v>
      </c>
      <c r="F913">
        <f>Raw_Data!G913</f>
        <v>1</v>
      </c>
      <c r="G913">
        <f>Raw_Data!E913</f>
        <v>1033.57</v>
      </c>
      <c r="H913">
        <f>Raw_Data!I913</f>
        <v>148243.35999999999</v>
      </c>
      <c r="I913">
        <f>Raw_Data!J913</f>
        <v>0</v>
      </c>
      <c r="J913">
        <f t="shared" si="29"/>
        <v>2</v>
      </c>
      <c r="K913" t="str">
        <f t="shared" si="30"/>
        <v>Low Risk</v>
      </c>
    </row>
    <row r="914" spans="1:11" x14ac:dyDescent="0.35">
      <c r="A914">
        <f>Raw_Data!A914</f>
        <v>913</v>
      </c>
      <c r="B914">
        <f>Raw_Data!B914</f>
        <v>23</v>
      </c>
      <c r="C914">
        <f>Raw_Data!D914</f>
        <v>31</v>
      </c>
      <c r="D914">
        <f>Raw_Data!F914</f>
        <v>1</v>
      </c>
      <c r="E914">
        <f>Raw_Data!H914</f>
        <v>0</v>
      </c>
      <c r="F914">
        <f>Raw_Data!G914</f>
        <v>0</v>
      </c>
      <c r="G914">
        <f>Raw_Data!E914</f>
        <v>13450.98</v>
      </c>
      <c r="H914">
        <f>Raw_Data!I914</f>
        <v>56174.8</v>
      </c>
      <c r="I914">
        <f>Raw_Data!J914</f>
        <v>0</v>
      </c>
      <c r="J914">
        <f t="shared" si="29"/>
        <v>2</v>
      </c>
      <c r="K914" t="str">
        <f t="shared" si="30"/>
        <v>Low Risk</v>
      </c>
    </row>
    <row r="915" spans="1:11" x14ac:dyDescent="0.35">
      <c r="A915">
        <f>Raw_Data!A915</f>
        <v>914</v>
      </c>
      <c r="B915">
        <f>Raw_Data!B915</f>
        <v>19</v>
      </c>
      <c r="C915">
        <f>Raw_Data!D915</f>
        <v>64</v>
      </c>
      <c r="D915">
        <f>Raw_Data!F915</f>
        <v>1</v>
      </c>
      <c r="E915">
        <f>Raw_Data!H915</f>
        <v>0</v>
      </c>
      <c r="F915">
        <f>Raw_Data!G915</f>
        <v>1</v>
      </c>
      <c r="G915">
        <f>Raw_Data!E915</f>
        <v>25879.82</v>
      </c>
      <c r="H915">
        <f>Raw_Data!I915</f>
        <v>71404.38</v>
      </c>
      <c r="I915">
        <f>Raw_Data!J915</f>
        <v>0</v>
      </c>
      <c r="J915">
        <f t="shared" si="29"/>
        <v>2</v>
      </c>
      <c r="K915" t="str">
        <f t="shared" si="30"/>
        <v>Low Risk</v>
      </c>
    </row>
    <row r="916" spans="1:11" x14ac:dyDescent="0.35">
      <c r="A916">
        <f>Raw_Data!A916</f>
        <v>915</v>
      </c>
      <c r="B916">
        <f>Raw_Data!B916</f>
        <v>30</v>
      </c>
      <c r="C916">
        <f>Raw_Data!D916</f>
        <v>19</v>
      </c>
      <c r="D916">
        <f>Raw_Data!F916</f>
        <v>2</v>
      </c>
      <c r="E916">
        <f>Raw_Data!H916</f>
        <v>0</v>
      </c>
      <c r="F916">
        <f>Raw_Data!G916</f>
        <v>0</v>
      </c>
      <c r="G916">
        <f>Raw_Data!E916</f>
        <v>13442.34</v>
      </c>
      <c r="H916">
        <f>Raw_Data!I916</f>
        <v>109334.7</v>
      </c>
      <c r="I916">
        <f>Raw_Data!J916</f>
        <v>0</v>
      </c>
      <c r="J916">
        <f t="shared" si="29"/>
        <v>2</v>
      </c>
      <c r="K916" t="str">
        <f t="shared" si="30"/>
        <v>Low Risk</v>
      </c>
    </row>
    <row r="917" spans="1:11" x14ac:dyDescent="0.35">
      <c r="A917">
        <f>Raw_Data!A917</f>
        <v>916</v>
      </c>
      <c r="B917">
        <f>Raw_Data!B917</f>
        <v>60</v>
      </c>
      <c r="C917">
        <f>Raw_Data!D917</f>
        <v>48</v>
      </c>
      <c r="D917">
        <f>Raw_Data!F917</f>
        <v>1</v>
      </c>
      <c r="E917">
        <f>Raw_Data!H917</f>
        <v>0</v>
      </c>
      <c r="F917">
        <f>Raw_Data!G917</f>
        <v>0</v>
      </c>
      <c r="G917">
        <f>Raw_Data!E917</f>
        <v>31421.7</v>
      </c>
      <c r="H917">
        <f>Raw_Data!I917</f>
        <v>125923.18</v>
      </c>
      <c r="I917">
        <f>Raw_Data!J917</f>
        <v>0</v>
      </c>
      <c r="J917">
        <f t="shared" si="29"/>
        <v>3</v>
      </c>
      <c r="K917" t="str">
        <f t="shared" si="30"/>
        <v>Medium Risk</v>
      </c>
    </row>
    <row r="918" spans="1:11" x14ac:dyDescent="0.35">
      <c r="A918">
        <f>Raw_Data!A918</f>
        <v>917</v>
      </c>
      <c r="B918">
        <f>Raw_Data!B918</f>
        <v>60</v>
      </c>
      <c r="C918">
        <f>Raw_Data!D918</f>
        <v>45</v>
      </c>
      <c r="D918">
        <f>Raw_Data!F918</f>
        <v>1</v>
      </c>
      <c r="E918">
        <f>Raw_Data!H918</f>
        <v>0</v>
      </c>
      <c r="F918">
        <f>Raw_Data!G918</f>
        <v>0</v>
      </c>
      <c r="G918">
        <f>Raw_Data!E918</f>
        <v>24093.37</v>
      </c>
      <c r="H918">
        <f>Raw_Data!I918</f>
        <v>74260.91</v>
      </c>
      <c r="I918">
        <f>Raw_Data!J918</f>
        <v>0</v>
      </c>
      <c r="J918">
        <f t="shared" si="29"/>
        <v>3</v>
      </c>
      <c r="K918" t="str">
        <f t="shared" si="30"/>
        <v>Medium Risk</v>
      </c>
    </row>
    <row r="919" spans="1:11" x14ac:dyDescent="0.35">
      <c r="A919">
        <f>Raw_Data!A919</f>
        <v>918</v>
      </c>
      <c r="B919">
        <f>Raw_Data!B919</f>
        <v>65</v>
      </c>
      <c r="C919">
        <f>Raw_Data!D919</f>
        <v>55</v>
      </c>
      <c r="D919">
        <f>Raw_Data!F919</f>
        <v>2</v>
      </c>
      <c r="E919">
        <f>Raw_Data!H919</f>
        <v>0</v>
      </c>
      <c r="F919">
        <f>Raw_Data!G919</f>
        <v>0</v>
      </c>
      <c r="G919">
        <f>Raw_Data!E919</f>
        <v>18085.509999999998</v>
      </c>
      <c r="H919">
        <f>Raw_Data!I919</f>
        <v>60256.95</v>
      </c>
      <c r="I919">
        <f>Raw_Data!J919</f>
        <v>0</v>
      </c>
      <c r="J919">
        <f t="shared" si="29"/>
        <v>3</v>
      </c>
      <c r="K919" t="str">
        <f t="shared" si="30"/>
        <v>Medium Risk</v>
      </c>
    </row>
    <row r="920" spans="1:11" x14ac:dyDescent="0.35">
      <c r="A920">
        <f>Raw_Data!A920</f>
        <v>919</v>
      </c>
      <c r="B920">
        <f>Raw_Data!B920</f>
        <v>28</v>
      </c>
      <c r="C920">
        <f>Raw_Data!D920</f>
        <v>55</v>
      </c>
      <c r="D920">
        <f>Raw_Data!F920</f>
        <v>2</v>
      </c>
      <c r="E920">
        <f>Raw_Data!H920</f>
        <v>0</v>
      </c>
      <c r="F920">
        <f>Raw_Data!G920</f>
        <v>0</v>
      </c>
      <c r="G920">
        <f>Raw_Data!E920</f>
        <v>47460.43</v>
      </c>
      <c r="H920">
        <f>Raw_Data!I920</f>
        <v>141917.35</v>
      </c>
      <c r="I920">
        <f>Raw_Data!J920</f>
        <v>0</v>
      </c>
      <c r="J920">
        <f t="shared" si="29"/>
        <v>3</v>
      </c>
      <c r="K920" t="str">
        <f t="shared" si="30"/>
        <v>Medium Risk</v>
      </c>
    </row>
    <row r="921" spans="1:11" x14ac:dyDescent="0.35">
      <c r="A921">
        <f>Raw_Data!A921</f>
        <v>920</v>
      </c>
      <c r="B921">
        <f>Raw_Data!B921</f>
        <v>68</v>
      </c>
      <c r="C921">
        <f>Raw_Data!D921</f>
        <v>18</v>
      </c>
      <c r="D921">
        <f>Raw_Data!F921</f>
        <v>4</v>
      </c>
      <c r="E921">
        <f>Raw_Data!H921</f>
        <v>0</v>
      </c>
      <c r="F921">
        <f>Raw_Data!G921</f>
        <v>1</v>
      </c>
      <c r="G921">
        <f>Raw_Data!E921</f>
        <v>31607.97</v>
      </c>
      <c r="H921">
        <f>Raw_Data!I921</f>
        <v>108028.85</v>
      </c>
      <c r="I921">
        <f>Raw_Data!J921</f>
        <v>0</v>
      </c>
      <c r="J921">
        <f t="shared" si="29"/>
        <v>5</v>
      </c>
      <c r="K921" t="str">
        <f t="shared" si="30"/>
        <v>High Risk</v>
      </c>
    </row>
    <row r="922" spans="1:11" x14ac:dyDescent="0.35">
      <c r="A922">
        <f>Raw_Data!A922</f>
        <v>921</v>
      </c>
      <c r="B922">
        <f>Raw_Data!B922</f>
        <v>64</v>
      </c>
      <c r="C922">
        <f>Raw_Data!D922</f>
        <v>63</v>
      </c>
      <c r="D922">
        <f>Raw_Data!F922</f>
        <v>2</v>
      </c>
      <c r="E922">
        <f>Raw_Data!H922</f>
        <v>1</v>
      </c>
      <c r="F922">
        <f>Raw_Data!G922</f>
        <v>1</v>
      </c>
      <c r="G922">
        <f>Raw_Data!E922</f>
        <v>6497.07</v>
      </c>
      <c r="H922">
        <f>Raw_Data!I922</f>
        <v>35472.769999999997</v>
      </c>
      <c r="I922">
        <f>Raw_Data!J922</f>
        <v>0</v>
      </c>
      <c r="J922">
        <f t="shared" si="29"/>
        <v>1</v>
      </c>
      <c r="K922" t="str">
        <f t="shared" si="30"/>
        <v>Low Risk</v>
      </c>
    </row>
    <row r="923" spans="1:11" x14ac:dyDescent="0.35">
      <c r="A923">
        <f>Raw_Data!A923</f>
        <v>922</v>
      </c>
      <c r="B923">
        <f>Raw_Data!B923</f>
        <v>40</v>
      </c>
      <c r="C923">
        <f>Raw_Data!D923</f>
        <v>47</v>
      </c>
      <c r="D923">
        <f>Raw_Data!F923</f>
        <v>2</v>
      </c>
      <c r="E923">
        <f>Raw_Data!H923</f>
        <v>1</v>
      </c>
      <c r="F923">
        <f>Raw_Data!G923</f>
        <v>0</v>
      </c>
      <c r="G923">
        <f>Raw_Data!E923</f>
        <v>28004.58</v>
      </c>
      <c r="H923">
        <f>Raw_Data!I923</f>
        <v>28960.62</v>
      </c>
      <c r="I923">
        <f>Raw_Data!J923</f>
        <v>0</v>
      </c>
      <c r="J923">
        <f t="shared" si="29"/>
        <v>0</v>
      </c>
      <c r="K923" t="str">
        <f t="shared" si="30"/>
        <v>Low Risk</v>
      </c>
    </row>
    <row r="924" spans="1:11" x14ac:dyDescent="0.35">
      <c r="A924">
        <f>Raw_Data!A924</f>
        <v>923</v>
      </c>
      <c r="B924">
        <f>Raw_Data!B924</f>
        <v>33</v>
      </c>
      <c r="C924">
        <f>Raw_Data!D924</f>
        <v>57</v>
      </c>
      <c r="D924">
        <f>Raw_Data!F924</f>
        <v>3</v>
      </c>
      <c r="E924">
        <f>Raw_Data!H924</f>
        <v>1</v>
      </c>
      <c r="F924">
        <f>Raw_Data!G924</f>
        <v>1</v>
      </c>
      <c r="G924">
        <f>Raw_Data!E924</f>
        <v>39036.589999999997</v>
      </c>
      <c r="H924">
        <f>Raw_Data!I924</f>
        <v>82861.48</v>
      </c>
      <c r="I924">
        <f>Raw_Data!J924</f>
        <v>0</v>
      </c>
      <c r="J924">
        <f t="shared" si="29"/>
        <v>0</v>
      </c>
      <c r="K924" t="str">
        <f t="shared" si="30"/>
        <v>Low Risk</v>
      </c>
    </row>
    <row r="925" spans="1:11" x14ac:dyDescent="0.35">
      <c r="A925">
        <f>Raw_Data!A925</f>
        <v>924</v>
      </c>
      <c r="B925">
        <f>Raw_Data!B925</f>
        <v>48</v>
      </c>
      <c r="C925">
        <f>Raw_Data!D925</f>
        <v>45</v>
      </c>
      <c r="D925">
        <f>Raw_Data!F925</f>
        <v>4</v>
      </c>
      <c r="E925">
        <f>Raw_Data!H925</f>
        <v>0</v>
      </c>
      <c r="F925">
        <f>Raw_Data!G925</f>
        <v>0</v>
      </c>
      <c r="G925">
        <f>Raw_Data!E925</f>
        <v>35424.480000000003</v>
      </c>
      <c r="H925">
        <f>Raw_Data!I925</f>
        <v>48611.71</v>
      </c>
      <c r="I925">
        <f>Raw_Data!J925</f>
        <v>0</v>
      </c>
      <c r="J925">
        <f t="shared" si="29"/>
        <v>4</v>
      </c>
      <c r="K925" t="str">
        <f t="shared" si="30"/>
        <v>Medium Risk</v>
      </c>
    </row>
    <row r="926" spans="1:11" x14ac:dyDescent="0.35">
      <c r="A926">
        <f>Raw_Data!A926</f>
        <v>925</v>
      </c>
      <c r="B926">
        <f>Raw_Data!B926</f>
        <v>28</v>
      </c>
      <c r="C926">
        <f>Raw_Data!D926</f>
        <v>33</v>
      </c>
      <c r="D926">
        <f>Raw_Data!F926</f>
        <v>4</v>
      </c>
      <c r="E926">
        <f>Raw_Data!H926</f>
        <v>0</v>
      </c>
      <c r="F926">
        <f>Raw_Data!G926</f>
        <v>1</v>
      </c>
      <c r="G926">
        <f>Raw_Data!E926</f>
        <v>8604.4599999999991</v>
      </c>
      <c r="H926">
        <f>Raw_Data!I926</f>
        <v>53018.02</v>
      </c>
      <c r="I926">
        <f>Raw_Data!J926</f>
        <v>0</v>
      </c>
      <c r="J926">
        <f t="shared" si="29"/>
        <v>4</v>
      </c>
      <c r="K926" t="str">
        <f t="shared" si="30"/>
        <v>Medium Risk</v>
      </c>
    </row>
    <row r="927" spans="1:11" x14ac:dyDescent="0.35">
      <c r="A927">
        <f>Raw_Data!A927</f>
        <v>926</v>
      </c>
      <c r="B927">
        <f>Raw_Data!B927</f>
        <v>33</v>
      </c>
      <c r="C927">
        <f>Raw_Data!D927</f>
        <v>17</v>
      </c>
      <c r="D927">
        <f>Raw_Data!F927</f>
        <v>4</v>
      </c>
      <c r="E927">
        <f>Raw_Data!H927</f>
        <v>1</v>
      </c>
      <c r="F927">
        <f>Raw_Data!G927</f>
        <v>1</v>
      </c>
      <c r="G927">
        <f>Raw_Data!E927</f>
        <v>48621</v>
      </c>
      <c r="H927">
        <f>Raw_Data!I927</f>
        <v>134099.98000000001</v>
      </c>
      <c r="I927">
        <f>Raw_Data!J927</f>
        <v>0</v>
      </c>
      <c r="J927">
        <f t="shared" si="29"/>
        <v>3</v>
      </c>
      <c r="K927" t="str">
        <f t="shared" si="30"/>
        <v>Medium Risk</v>
      </c>
    </row>
    <row r="928" spans="1:11" x14ac:dyDescent="0.35">
      <c r="A928">
        <f>Raw_Data!A928</f>
        <v>927</v>
      </c>
      <c r="B928">
        <f>Raw_Data!B928</f>
        <v>25</v>
      </c>
      <c r="C928">
        <f>Raw_Data!D928</f>
        <v>70</v>
      </c>
      <c r="D928">
        <f>Raw_Data!F928</f>
        <v>3</v>
      </c>
      <c r="E928">
        <f>Raw_Data!H928</f>
        <v>0</v>
      </c>
      <c r="F928">
        <f>Raw_Data!G928</f>
        <v>1</v>
      </c>
      <c r="G928">
        <f>Raw_Data!E928</f>
        <v>22440.68</v>
      </c>
      <c r="H928">
        <f>Raw_Data!I928</f>
        <v>31643.58</v>
      </c>
      <c r="I928">
        <f>Raw_Data!J928</f>
        <v>0</v>
      </c>
      <c r="J928">
        <f t="shared" si="29"/>
        <v>2</v>
      </c>
      <c r="K928" t="str">
        <f t="shared" si="30"/>
        <v>Low Risk</v>
      </c>
    </row>
    <row r="929" spans="1:11" x14ac:dyDescent="0.35">
      <c r="A929">
        <f>Raw_Data!A929</f>
        <v>928</v>
      </c>
      <c r="B929">
        <f>Raw_Data!B929</f>
        <v>21</v>
      </c>
      <c r="C929">
        <f>Raw_Data!D929</f>
        <v>4</v>
      </c>
      <c r="D929">
        <f>Raw_Data!F929</f>
        <v>2</v>
      </c>
      <c r="E929">
        <f>Raw_Data!H929</f>
        <v>1</v>
      </c>
      <c r="F929">
        <f>Raw_Data!G929</f>
        <v>1</v>
      </c>
      <c r="G929">
        <f>Raw_Data!E929</f>
        <v>7951.25</v>
      </c>
      <c r="H929">
        <f>Raw_Data!I929</f>
        <v>112997.33</v>
      </c>
      <c r="I929">
        <f>Raw_Data!J929</f>
        <v>0</v>
      </c>
      <c r="J929">
        <f t="shared" si="29"/>
        <v>2</v>
      </c>
      <c r="K929" t="str">
        <f t="shared" si="30"/>
        <v>Low Risk</v>
      </c>
    </row>
    <row r="930" spans="1:11" x14ac:dyDescent="0.35">
      <c r="A930">
        <f>Raw_Data!A930</f>
        <v>929</v>
      </c>
      <c r="B930">
        <f>Raw_Data!B930</f>
        <v>57</v>
      </c>
      <c r="C930">
        <f>Raw_Data!D930</f>
        <v>20</v>
      </c>
      <c r="D930">
        <f>Raw_Data!F930</f>
        <v>4</v>
      </c>
      <c r="E930">
        <f>Raw_Data!H930</f>
        <v>0</v>
      </c>
      <c r="F930">
        <f>Raw_Data!G930</f>
        <v>1</v>
      </c>
      <c r="G930">
        <f>Raw_Data!E930</f>
        <v>9009.7900000000009</v>
      </c>
      <c r="H930">
        <f>Raw_Data!I930</f>
        <v>55248.49</v>
      </c>
      <c r="I930">
        <f>Raw_Data!J930</f>
        <v>0</v>
      </c>
      <c r="J930">
        <f t="shared" si="29"/>
        <v>5</v>
      </c>
      <c r="K930" t="str">
        <f t="shared" si="30"/>
        <v>High Risk</v>
      </c>
    </row>
    <row r="931" spans="1:11" x14ac:dyDescent="0.35">
      <c r="A931">
        <f>Raw_Data!A931</f>
        <v>930</v>
      </c>
      <c r="B931">
        <f>Raw_Data!B931</f>
        <v>21</v>
      </c>
      <c r="C931">
        <f>Raw_Data!D931</f>
        <v>47</v>
      </c>
      <c r="D931">
        <f>Raw_Data!F931</f>
        <v>4</v>
      </c>
      <c r="E931">
        <f>Raw_Data!H931</f>
        <v>1</v>
      </c>
      <c r="F931">
        <f>Raw_Data!G931</f>
        <v>0</v>
      </c>
      <c r="G931">
        <f>Raw_Data!E931</f>
        <v>4911.75</v>
      </c>
      <c r="H931">
        <f>Raw_Data!I931</f>
        <v>118842.67</v>
      </c>
      <c r="I931">
        <f>Raw_Data!J931</f>
        <v>0</v>
      </c>
      <c r="J931">
        <f t="shared" si="29"/>
        <v>2</v>
      </c>
      <c r="K931" t="str">
        <f t="shared" si="30"/>
        <v>Low Risk</v>
      </c>
    </row>
    <row r="932" spans="1:11" x14ac:dyDescent="0.35">
      <c r="A932">
        <f>Raw_Data!A932</f>
        <v>931</v>
      </c>
      <c r="B932">
        <f>Raw_Data!B932</f>
        <v>42</v>
      </c>
      <c r="C932">
        <f>Raw_Data!D932</f>
        <v>15</v>
      </c>
      <c r="D932">
        <f>Raw_Data!F932</f>
        <v>1</v>
      </c>
      <c r="E932">
        <f>Raw_Data!H932</f>
        <v>1</v>
      </c>
      <c r="F932">
        <f>Raw_Data!G932</f>
        <v>0</v>
      </c>
      <c r="G932">
        <f>Raw_Data!E932</f>
        <v>40175.910000000003</v>
      </c>
      <c r="H932">
        <f>Raw_Data!I932</f>
        <v>113913.48</v>
      </c>
      <c r="I932">
        <f>Raw_Data!J932</f>
        <v>0</v>
      </c>
      <c r="J932">
        <f t="shared" si="29"/>
        <v>1</v>
      </c>
      <c r="K932" t="str">
        <f t="shared" si="30"/>
        <v>Low Risk</v>
      </c>
    </row>
    <row r="933" spans="1:11" x14ac:dyDescent="0.35">
      <c r="A933">
        <f>Raw_Data!A933</f>
        <v>932</v>
      </c>
      <c r="B933">
        <f>Raw_Data!B933</f>
        <v>20</v>
      </c>
      <c r="C933">
        <f>Raw_Data!D933</f>
        <v>70</v>
      </c>
      <c r="D933">
        <f>Raw_Data!F933</f>
        <v>4</v>
      </c>
      <c r="E933">
        <f>Raw_Data!H933</f>
        <v>1</v>
      </c>
      <c r="F933">
        <f>Raw_Data!G933</f>
        <v>1</v>
      </c>
      <c r="G933">
        <f>Raw_Data!E933</f>
        <v>6101.52</v>
      </c>
      <c r="H933">
        <f>Raw_Data!I933</f>
        <v>20960.95</v>
      </c>
      <c r="I933">
        <f>Raw_Data!J933</f>
        <v>0</v>
      </c>
      <c r="J933">
        <f t="shared" si="29"/>
        <v>2</v>
      </c>
      <c r="K933" t="str">
        <f t="shared" si="30"/>
        <v>Low Risk</v>
      </c>
    </row>
    <row r="934" spans="1:11" x14ac:dyDescent="0.35">
      <c r="A934">
        <f>Raw_Data!A934</f>
        <v>933</v>
      </c>
      <c r="B934">
        <f>Raw_Data!B934</f>
        <v>49</v>
      </c>
      <c r="C934">
        <f>Raw_Data!D934</f>
        <v>47</v>
      </c>
      <c r="D934">
        <f>Raw_Data!F934</f>
        <v>2</v>
      </c>
      <c r="E934">
        <f>Raw_Data!H934</f>
        <v>0</v>
      </c>
      <c r="F934">
        <f>Raw_Data!G934</f>
        <v>0</v>
      </c>
      <c r="G934">
        <f>Raw_Data!E934</f>
        <v>6256.26</v>
      </c>
      <c r="H934">
        <f>Raw_Data!I934</f>
        <v>86187.6</v>
      </c>
      <c r="I934">
        <f>Raw_Data!J934</f>
        <v>0</v>
      </c>
      <c r="J934">
        <f t="shared" si="29"/>
        <v>2</v>
      </c>
      <c r="K934" t="str">
        <f t="shared" si="30"/>
        <v>Low Risk</v>
      </c>
    </row>
    <row r="935" spans="1:11" x14ac:dyDescent="0.35">
      <c r="A935">
        <f>Raw_Data!A935</f>
        <v>934</v>
      </c>
      <c r="B935">
        <f>Raw_Data!B935</f>
        <v>20</v>
      </c>
      <c r="C935">
        <f>Raw_Data!D935</f>
        <v>9</v>
      </c>
      <c r="D935">
        <f>Raw_Data!F935</f>
        <v>2</v>
      </c>
      <c r="E935">
        <f>Raw_Data!H935</f>
        <v>1</v>
      </c>
      <c r="F935">
        <f>Raw_Data!G935</f>
        <v>1</v>
      </c>
      <c r="G935">
        <f>Raw_Data!E935</f>
        <v>42523.58</v>
      </c>
      <c r="H935">
        <f>Raw_Data!I935</f>
        <v>38111.53</v>
      </c>
      <c r="I935">
        <f>Raw_Data!J935</f>
        <v>0</v>
      </c>
      <c r="J935">
        <f t="shared" si="29"/>
        <v>3</v>
      </c>
      <c r="K935" t="str">
        <f t="shared" si="30"/>
        <v>Medium Risk</v>
      </c>
    </row>
    <row r="936" spans="1:11" x14ac:dyDescent="0.35">
      <c r="A936">
        <f>Raw_Data!A936</f>
        <v>935</v>
      </c>
      <c r="B936">
        <f>Raw_Data!B936</f>
        <v>44</v>
      </c>
      <c r="C936">
        <f>Raw_Data!D936</f>
        <v>16</v>
      </c>
      <c r="D936">
        <f>Raw_Data!F936</f>
        <v>1</v>
      </c>
      <c r="E936">
        <f>Raw_Data!H936</f>
        <v>0</v>
      </c>
      <c r="F936">
        <f>Raw_Data!G936</f>
        <v>0</v>
      </c>
      <c r="G936">
        <f>Raw_Data!E936</f>
        <v>17230.2</v>
      </c>
      <c r="H936">
        <f>Raw_Data!I936</f>
        <v>132609.51</v>
      </c>
      <c r="I936">
        <f>Raw_Data!J936</f>
        <v>0</v>
      </c>
      <c r="J936">
        <f t="shared" si="29"/>
        <v>2</v>
      </c>
      <c r="K936" t="str">
        <f t="shared" si="30"/>
        <v>Low Risk</v>
      </c>
    </row>
    <row r="937" spans="1:11" x14ac:dyDescent="0.35">
      <c r="A937">
        <f>Raw_Data!A937</f>
        <v>936</v>
      </c>
      <c r="B937">
        <f>Raw_Data!B937</f>
        <v>46</v>
      </c>
      <c r="C937">
        <f>Raw_Data!D937</f>
        <v>69</v>
      </c>
      <c r="D937">
        <f>Raw_Data!F937</f>
        <v>4</v>
      </c>
      <c r="E937">
        <f>Raw_Data!H937</f>
        <v>0</v>
      </c>
      <c r="F937">
        <f>Raw_Data!G937</f>
        <v>1</v>
      </c>
      <c r="G937">
        <f>Raw_Data!E937</f>
        <v>1542.9</v>
      </c>
      <c r="H937">
        <f>Raw_Data!I937</f>
        <v>133306.16</v>
      </c>
      <c r="I937">
        <f>Raw_Data!J937</f>
        <v>0</v>
      </c>
      <c r="J937">
        <f t="shared" si="29"/>
        <v>4</v>
      </c>
      <c r="K937" t="str">
        <f t="shared" si="30"/>
        <v>Medium Risk</v>
      </c>
    </row>
    <row r="938" spans="1:11" x14ac:dyDescent="0.35">
      <c r="A938">
        <f>Raw_Data!A938</f>
        <v>937</v>
      </c>
      <c r="B938">
        <f>Raw_Data!B938</f>
        <v>49</v>
      </c>
      <c r="C938">
        <f>Raw_Data!D938</f>
        <v>61</v>
      </c>
      <c r="D938">
        <f>Raw_Data!F938</f>
        <v>4</v>
      </c>
      <c r="E938">
        <f>Raw_Data!H938</f>
        <v>0</v>
      </c>
      <c r="F938">
        <f>Raw_Data!G938</f>
        <v>1</v>
      </c>
      <c r="G938">
        <f>Raw_Data!E938</f>
        <v>2594.7600000000002</v>
      </c>
      <c r="H938">
        <f>Raw_Data!I938</f>
        <v>74384.95</v>
      </c>
      <c r="I938">
        <f>Raw_Data!J938</f>
        <v>0</v>
      </c>
      <c r="J938">
        <f t="shared" si="29"/>
        <v>4</v>
      </c>
      <c r="K938" t="str">
        <f t="shared" si="30"/>
        <v>Medium Risk</v>
      </c>
    </row>
    <row r="939" spans="1:11" x14ac:dyDescent="0.35">
      <c r="A939">
        <f>Raw_Data!A939</f>
        <v>938</v>
      </c>
      <c r="B939">
        <f>Raw_Data!B939</f>
        <v>67</v>
      </c>
      <c r="C939">
        <f>Raw_Data!D939</f>
        <v>10</v>
      </c>
      <c r="D939">
        <f>Raw_Data!F939</f>
        <v>4</v>
      </c>
      <c r="E939">
        <f>Raw_Data!H939</f>
        <v>0</v>
      </c>
      <c r="F939">
        <f>Raw_Data!G939</f>
        <v>1</v>
      </c>
      <c r="G939">
        <f>Raw_Data!E939</f>
        <v>7108.52</v>
      </c>
      <c r="H939">
        <f>Raw_Data!I939</f>
        <v>77771.429999999993</v>
      </c>
      <c r="I939">
        <f>Raw_Data!J939</f>
        <v>1</v>
      </c>
      <c r="J939">
        <f t="shared" si="29"/>
        <v>7</v>
      </c>
      <c r="K939" t="str">
        <f t="shared" si="30"/>
        <v>High Risk</v>
      </c>
    </row>
    <row r="940" spans="1:11" x14ac:dyDescent="0.35">
      <c r="A940">
        <f>Raw_Data!A940</f>
        <v>939</v>
      </c>
      <c r="B940">
        <f>Raw_Data!B940</f>
        <v>68</v>
      </c>
      <c r="C940">
        <f>Raw_Data!D940</f>
        <v>50</v>
      </c>
      <c r="D940">
        <f>Raw_Data!F940</f>
        <v>3</v>
      </c>
      <c r="E940">
        <f>Raw_Data!H940</f>
        <v>0</v>
      </c>
      <c r="F940">
        <f>Raw_Data!G940</f>
        <v>0</v>
      </c>
      <c r="G940">
        <f>Raw_Data!E940</f>
        <v>10669.67</v>
      </c>
      <c r="H940">
        <f>Raw_Data!I940</f>
        <v>59426.78</v>
      </c>
      <c r="I940">
        <f>Raw_Data!J940</f>
        <v>0</v>
      </c>
      <c r="J940">
        <f t="shared" si="29"/>
        <v>3</v>
      </c>
      <c r="K940" t="str">
        <f t="shared" si="30"/>
        <v>Medium Risk</v>
      </c>
    </row>
    <row r="941" spans="1:11" x14ac:dyDescent="0.35">
      <c r="A941">
        <f>Raw_Data!A941</f>
        <v>940</v>
      </c>
      <c r="B941">
        <f>Raw_Data!B941</f>
        <v>36</v>
      </c>
      <c r="C941">
        <f>Raw_Data!D941</f>
        <v>3</v>
      </c>
      <c r="D941">
        <f>Raw_Data!F941</f>
        <v>4</v>
      </c>
      <c r="E941">
        <f>Raw_Data!H941</f>
        <v>0</v>
      </c>
      <c r="F941">
        <f>Raw_Data!G941</f>
        <v>0</v>
      </c>
      <c r="G941">
        <f>Raw_Data!E941</f>
        <v>33257.31</v>
      </c>
      <c r="H941">
        <f>Raw_Data!I941</f>
        <v>113158.82</v>
      </c>
      <c r="I941">
        <f>Raw_Data!J941</f>
        <v>0</v>
      </c>
      <c r="J941">
        <f t="shared" si="29"/>
        <v>6</v>
      </c>
      <c r="K941" t="str">
        <f t="shared" si="30"/>
        <v>High Risk</v>
      </c>
    </row>
    <row r="942" spans="1:11" x14ac:dyDescent="0.35">
      <c r="A942">
        <f>Raw_Data!A942</f>
        <v>941</v>
      </c>
      <c r="B942">
        <f>Raw_Data!B942</f>
        <v>38</v>
      </c>
      <c r="C942">
        <f>Raw_Data!D942</f>
        <v>70</v>
      </c>
      <c r="D942">
        <f>Raw_Data!F942</f>
        <v>2</v>
      </c>
      <c r="E942">
        <f>Raw_Data!H942</f>
        <v>0</v>
      </c>
      <c r="F942">
        <f>Raw_Data!G942</f>
        <v>1</v>
      </c>
      <c r="G942">
        <f>Raw_Data!E942</f>
        <v>7866.31</v>
      </c>
      <c r="H942">
        <f>Raw_Data!I942</f>
        <v>66625.98</v>
      </c>
      <c r="I942">
        <f>Raw_Data!J942</f>
        <v>0</v>
      </c>
      <c r="J942">
        <f t="shared" si="29"/>
        <v>2</v>
      </c>
      <c r="K942" t="str">
        <f t="shared" si="30"/>
        <v>Low Risk</v>
      </c>
    </row>
    <row r="943" spans="1:11" x14ac:dyDescent="0.35">
      <c r="A943">
        <f>Raw_Data!A943</f>
        <v>942</v>
      </c>
      <c r="B943">
        <f>Raw_Data!B943</f>
        <v>22</v>
      </c>
      <c r="C943">
        <f>Raw_Data!D943</f>
        <v>51</v>
      </c>
      <c r="D943">
        <f>Raw_Data!F943</f>
        <v>2</v>
      </c>
      <c r="E943">
        <f>Raw_Data!H943</f>
        <v>1</v>
      </c>
      <c r="F943">
        <f>Raw_Data!G943</f>
        <v>1</v>
      </c>
      <c r="G943">
        <f>Raw_Data!E943</f>
        <v>5943.72</v>
      </c>
      <c r="H943">
        <f>Raw_Data!I943</f>
        <v>54813.02</v>
      </c>
      <c r="I943">
        <f>Raw_Data!J943</f>
        <v>0</v>
      </c>
      <c r="J943">
        <f t="shared" si="29"/>
        <v>0</v>
      </c>
      <c r="K943" t="str">
        <f t="shared" si="30"/>
        <v>Low Risk</v>
      </c>
    </row>
    <row r="944" spans="1:11" x14ac:dyDescent="0.35">
      <c r="A944">
        <f>Raw_Data!A944</f>
        <v>943</v>
      </c>
      <c r="B944">
        <f>Raw_Data!B944</f>
        <v>35</v>
      </c>
      <c r="C944">
        <f>Raw_Data!D944</f>
        <v>19</v>
      </c>
      <c r="D944">
        <f>Raw_Data!F944</f>
        <v>3</v>
      </c>
      <c r="E944">
        <f>Raw_Data!H944</f>
        <v>1</v>
      </c>
      <c r="F944">
        <f>Raw_Data!G944</f>
        <v>0</v>
      </c>
      <c r="G944">
        <f>Raw_Data!E944</f>
        <v>38235.96</v>
      </c>
      <c r="H944">
        <f>Raw_Data!I944</f>
        <v>76190.039999999994</v>
      </c>
      <c r="I944">
        <f>Raw_Data!J944</f>
        <v>0</v>
      </c>
      <c r="J944">
        <f t="shared" si="29"/>
        <v>0</v>
      </c>
      <c r="K944" t="str">
        <f t="shared" si="30"/>
        <v>Low Risk</v>
      </c>
    </row>
    <row r="945" spans="1:11" x14ac:dyDescent="0.35">
      <c r="A945">
        <f>Raw_Data!A945</f>
        <v>944</v>
      </c>
      <c r="B945">
        <f>Raw_Data!B945</f>
        <v>45</v>
      </c>
      <c r="C945">
        <f>Raw_Data!D945</f>
        <v>42</v>
      </c>
      <c r="D945">
        <f>Raw_Data!F945</f>
        <v>3</v>
      </c>
      <c r="E945">
        <f>Raw_Data!H945</f>
        <v>1</v>
      </c>
      <c r="F945">
        <f>Raw_Data!G945</f>
        <v>0</v>
      </c>
      <c r="G945">
        <f>Raw_Data!E945</f>
        <v>33552.76</v>
      </c>
      <c r="H945">
        <f>Raw_Data!I945</f>
        <v>31893.38</v>
      </c>
      <c r="I945">
        <f>Raw_Data!J945</f>
        <v>0</v>
      </c>
      <c r="J945">
        <f t="shared" si="29"/>
        <v>0</v>
      </c>
      <c r="K945" t="str">
        <f t="shared" si="30"/>
        <v>Low Risk</v>
      </c>
    </row>
    <row r="946" spans="1:11" x14ac:dyDescent="0.35">
      <c r="A946">
        <f>Raw_Data!A946</f>
        <v>945</v>
      </c>
      <c r="B946">
        <f>Raw_Data!B946</f>
        <v>59</v>
      </c>
      <c r="C946">
        <f>Raw_Data!D946</f>
        <v>35</v>
      </c>
      <c r="D946">
        <f>Raw_Data!F946</f>
        <v>4</v>
      </c>
      <c r="E946">
        <f>Raw_Data!H946</f>
        <v>0</v>
      </c>
      <c r="F946">
        <f>Raw_Data!G946</f>
        <v>0</v>
      </c>
      <c r="G946">
        <f>Raw_Data!E946</f>
        <v>21766.21</v>
      </c>
      <c r="H946">
        <f>Raw_Data!I946</f>
        <v>117058.42</v>
      </c>
      <c r="I946">
        <f>Raw_Data!J946</f>
        <v>0</v>
      </c>
      <c r="J946">
        <f t="shared" si="29"/>
        <v>5</v>
      </c>
      <c r="K946" t="str">
        <f t="shared" si="30"/>
        <v>High Risk</v>
      </c>
    </row>
    <row r="947" spans="1:11" x14ac:dyDescent="0.35">
      <c r="A947">
        <f>Raw_Data!A947</f>
        <v>946</v>
      </c>
      <c r="B947">
        <f>Raw_Data!B947</f>
        <v>39</v>
      </c>
      <c r="C947">
        <f>Raw_Data!D947</f>
        <v>46</v>
      </c>
      <c r="D947">
        <f>Raw_Data!F947</f>
        <v>1</v>
      </c>
      <c r="E947">
        <f>Raw_Data!H947</f>
        <v>0</v>
      </c>
      <c r="F947">
        <f>Raw_Data!G947</f>
        <v>0</v>
      </c>
      <c r="G947">
        <f>Raw_Data!E947</f>
        <v>27465.49</v>
      </c>
      <c r="H947">
        <f>Raw_Data!I947</f>
        <v>21637.53</v>
      </c>
      <c r="I947">
        <f>Raw_Data!J947</f>
        <v>0</v>
      </c>
      <c r="J947">
        <f t="shared" si="29"/>
        <v>2</v>
      </c>
      <c r="K947" t="str">
        <f t="shared" si="30"/>
        <v>Low Risk</v>
      </c>
    </row>
    <row r="948" spans="1:11" x14ac:dyDescent="0.35">
      <c r="A948">
        <f>Raw_Data!A948</f>
        <v>947</v>
      </c>
      <c r="B948">
        <f>Raw_Data!B948</f>
        <v>38</v>
      </c>
      <c r="C948">
        <f>Raw_Data!D948</f>
        <v>26</v>
      </c>
      <c r="D948">
        <f>Raw_Data!F948</f>
        <v>3</v>
      </c>
      <c r="E948">
        <f>Raw_Data!H948</f>
        <v>0</v>
      </c>
      <c r="F948">
        <f>Raw_Data!G948</f>
        <v>0</v>
      </c>
      <c r="G948">
        <f>Raw_Data!E948</f>
        <v>15599.2</v>
      </c>
      <c r="H948">
        <f>Raw_Data!I948</f>
        <v>103783.06</v>
      </c>
      <c r="I948">
        <f>Raw_Data!J948</f>
        <v>0</v>
      </c>
      <c r="J948">
        <f t="shared" si="29"/>
        <v>2</v>
      </c>
      <c r="K948" t="str">
        <f t="shared" si="30"/>
        <v>Low Risk</v>
      </c>
    </row>
    <row r="949" spans="1:11" x14ac:dyDescent="0.35">
      <c r="A949">
        <f>Raw_Data!A949</f>
        <v>948</v>
      </c>
      <c r="B949">
        <f>Raw_Data!B949</f>
        <v>23</v>
      </c>
      <c r="C949">
        <f>Raw_Data!D949</f>
        <v>69</v>
      </c>
      <c r="D949">
        <f>Raw_Data!F949</f>
        <v>3</v>
      </c>
      <c r="E949">
        <f>Raw_Data!H949</f>
        <v>0</v>
      </c>
      <c r="F949">
        <f>Raw_Data!G949</f>
        <v>1</v>
      </c>
      <c r="G949">
        <f>Raw_Data!E949</f>
        <v>24125.02</v>
      </c>
      <c r="H949">
        <f>Raw_Data!I949</f>
        <v>43772.39</v>
      </c>
      <c r="I949">
        <f>Raw_Data!J949</f>
        <v>0</v>
      </c>
      <c r="J949">
        <f t="shared" si="29"/>
        <v>2</v>
      </c>
      <c r="K949" t="str">
        <f t="shared" si="30"/>
        <v>Low Risk</v>
      </c>
    </row>
    <row r="950" spans="1:11" x14ac:dyDescent="0.35">
      <c r="A950">
        <f>Raw_Data!A950</f>
        <v>949</v>
      </c>
      <c r="B950">
        <f>Raw_Data!B950</f>
        <v>18</v>
      </c>
      <c r="C950">
        <f>Raw_Data!D950</f>
        <v>64</v>
      </c>
      <c r="D950">
        <f>Raw_Data!F950</f>
        <v>4</v>
      </c>
      <c r="E950">
        <f>Raw_Data!H950</f>
        <v>1</v>
      </c>
      <c r="F950">
        <f>Raw_Data!G950</f>
        <v>0</v>
      </c>
      <c r="G950">
        <f>Raw_Data!E950</f>
        <v>25333.63</v>
      </c>
      <c r="H950">
        <f>Raw_Data!I950</f>
        <v>50212.53</v>
      </c>
      <c r="I950">
        <f>Raw_Data!J950</f>
        <v>0</v>
      </c>
      <c r="J950">
        <f t="shared" si="29"/>
        <v>2</v>
      </c>
      <c r="K950" t="str">
        <f t="shared" si="30"/>
        <v>Low Risk</v>
      </c>
    </row>
    <row r="951" spans="1:11" x14ac:dyDescent="0.35">
      <c r="A951">
        <f>Raw_Data!A951</f>
        <v>950</v>
      </c>
      <c r="B951">
        <f>Raw_Data!B951</f>
        <v>22</v>
      </c>
      <c r="C951">
        <f>Raw_Data!D951</f>
        <v>37</v>
      </c>
      <c r="D951">
        <f>Raw_Data!F951</f>
        <v>4</v>
      </c>
      <c r="E951">
        <f>Raw_Data!H951</f>
        <v>0</v>
      </c>
      <c r="F951">
        <f>Raw_Data!G951</f>
        <v>1</v>
      </c>
      <c r="G951">
        <f>Raw_Data!E951</f>
        <v>19361.86</v>
      </c>
      <c r="H951">
        <f>Raw_Data!I951</f>
        <v>102632.16</v>
      </c>
      <c r="I951">
        <f>Raw_Data!J951</f>
        <v>0</v>
      </c>
      <c r="J951">
        <f t="shared" si="29"/>
        <v>4</v>
      </c>
      <c r="K951" t="str">
        <f t="shared" si="30"/>
        <v>Medium Risk</v>
      </c>
    </row>
    <row r="952" spans="1:11" x14ac:dyDescent="0.35">
      <c r="A952">
        <f>Raw_Data!A952</f>
        <v>951</v>
      </c>
      <c r="B952">
        <f>Raw_Data!B952</f>
        <v>58</v>
      </c>
      <c r="C952">
        <f>Raw_Data!D952</f>
        <v>49</v>
      </c>
      <c r="D952">
        <f>Raw_Data!F952</f>
        <v>3</v>
      </c>
      <c r="E952">
        <f>Raw_Data!H952</f>
        <v>1</v>
      </c>
      <c r="F952">
        <f>Raw_Data!G952</f>
        <v>1</v>
      </c>
      <c r="G952">
        <f>Raw_Data!E952</f>
        <v>45328.61</v>
      </c>
      <c r="H952">
        <f>Raw_Data!I952</f>
        <v>149082.65</v>
      </c>
      <c r="I952">
        <f>Raw_Data!J952</f>
        <v>0</v>
      </c>
      <c r="J952">
        <f t="shared" si="29"/>
        <v>2</v>
      </c>
      <c r="K952" t="str">
        <f t="shared" si="30"/>
        <v>Low Risk</v>
      </c>
    </row>
    <row r="953" spans="1:11" x14ac:dyDescent="0.35">
      <c r="A953">
        <f>Raw_Data!A953</f>
        <v>952</v>
      </c>
      <c r="B953">
        <f>Raw_Data!B953</f>
        <v>29</v>
      </c>
      <c r="C953">
        <f>Raw_Data!D953</f>
        <v>21</v>
      </c>
      <c r="D953">
        <f>Raw_Data!F953</f>
        <v>1</v>
      </c>
      <c r="E953">
        <f>Raw_Data!H953</f>
        <v>0</v>
      </c>
      <c r="F953">
        <f>Raw_Data!G953</f>
        <v>0</v>
      </c>
      <c r="G953">
        <f>Raw_Data!E953</f>
        <v>803.09</v>
      </c>
      <c r="H953">
        <f>Raw_Data!I953</f>
        <v>121103.27</v>
      </c>
      <c r="I953">
        <f>Raw_Data!J953</f>
        <v>0</v>
      </c>
      <c r="J953">
        <f t="shared" si="29"/>
        <v>2</v>
      </c>
      <c r="K953" t="str">
        <f t="shared" si="30"/>
        <v>Low Risk</v>
      </c>
    </row>
    <row r="954" spans="1:11" x14ac:dyDescent="0.35">
      <c r="A954">
        <f>Raw_Data!A954</f>
        <v>953</v>
      </c>
      <c r="B954">
        <f>Raw_Data!B954</f>
        <v>43</v>
      </c>
      <c r="C954">
        <f>Raw_Data!D954</f>
        <v>64</v>
      </c>
      <c r="D954">
        <f>Raw_Data!F954</f>
        <v>3</v>
      </c>
      <c r="E954">
        <f>Raw_Data!H954</f>
        <v>1</v>
      </c>
      <c r="F954">
        <f>Raw_Data!G954</f>
        <v>0</v>
      </c>
      <c r="G954">
        <f>Raw_Data!E954</f>
        <v>39108.559999999998</v>
      </c>
      <c r="H954">
        <f>Raw_Data!I954</f>
        <v>49359.15</v>
      </c>
      <c r="I954">
        <f>Raw_Data!J954</f>
        <v>0</v>
      </c>
      <c r="J954">
        <f t="shared" si="29"/>
        <v>0</v>
      </c>
      <c r="K954" t="str">
        <f t="shared" si="30"/>
        <v>Low Risk</v>
      </c>
    </row>
    <row r="955" spans="1:11" x14ac:dyDescent="0.35">
      <c r="A955">
        <f>Raw_Data!A955</f>
        <v>954</v>
      </c>
      <c r="B955">
        <f>Raw_Data!B955</f>
        <v>63</v>
      </c>
      <c r="C955">
        <f>Raw_Data!D955</f>
        <v>5</v>
      </c>
      <c r="D955">
        <f>Raw_Data!F955</f>
        <v>4</v>
      </c>
      <c r="E955">
        <f>Raw_Data!H955</f>
        <v>0</v>
      </c>
      <c r="F955">
        <f>Raw_Data!G955</f>
        <v>1</v>
      </c>
      <c r="G955">
        <f>Raw_Data!E955</f>
        <v>6219.14</v>
      </c>
      <c r="H955">
        <f>Raw_Data!I955</f>
        <v>42883.22</v>
      </c>
      <c r="I955">
        <f>Raw_Data!J955</f>
        <v>1</v>
      </c>
      <c r="J955">
        <f t="shared" si="29"/>
        <v>7</v>
      </c>
      <c r="K955" t="str">
        <f t="shared" si="30"/>
        <v>High Risk</v>
      </c>
    </row>
    <row r="956" spans="1:11" x14ac:dyDescent="0.35">
      <c r="A956">
        <f>Raw_Data!A956</f>
        <v>955</v>
      </c>
      <c r="B956">
        <f>Raw_Data!B956</f>
        <v>51</v>
      </c>
      <c r="C956">
        <f>Raw_Data!D956</f>
        <v>70</v>
      </c>
      <c r="D956">
        <f>Raw_Data!F956</f>
        <v>4</v>
      </c>
      <c r="E956">
        <f>Raw_Data!H956</f>
        <v>1</v>
      </c>
      <c r="F956">
        <f>Raw_Data!G956</f>
        <v>0</v>
      </c>
      <c r="G956">
        <f>Raw_Data!E956</f>
        <v>39877.370000000003</v>
      </c>
      <c r="H956">
        <f>Raw_Data!I956</f>
        <v>132610.26999999999</v>
      </c>
      <c r="I956">
        <f>Raw_Data!J956</f>
        <v>0</v>
      </c>
      <c r="J956">
        <f t="shared" si="29"/>
        <v>2</v>
      </c>
      <c r="K956" t="str">
        <f t="shared" si="30"/>
        <v>Low Risk</v>
      </c>
    </row>
    <row r="957" spans="1:11" x14ac:dyDescent="0.35">
      <c r="A957">
        <f>Raw_Data!A957</f>
        <v>956</v>
      </c>
      <c r="B957">
        <f>Raw_Data!B957</f>
        <v>66</v>
      </c>
      <c r="C957">
        <f>Raw_Data!D957</f>
        <v>4</v>
      </c>
      <c r="D957">
        <f>Raw_Data!F957</f>
        <v>3</v>
      </c>
      <c r="E957">
        <f>Raw_Data!H957</f>
        <v>0</v>
      </c>
      <c r="F957">
        <f>Raw_Data!G957</f>
        <v>1</v>
      </c>
      <c r="G957">
        <f>Raw_Data!E957</f>
        <v>30795.599999999999</v>
      </c>
      <c r="H957">
        <f>Raw_Data!I957</f>
        <v>77743.91</v>
      </c>
      <c r="I957">
        <f>Raw_Data!J957</f>
        <v>0</v>
      </c>
      <c r="J957">
        <f t="shared" si="29"/>
        <v>5</v>
      </c>
      <c r="K957" t="str">
        <f t="shared" si="30"/>
        <v>High Risk</v>
      </c>
    </row>
    <row r="958" spans="1:11" x14ac:dyDescent="0.35">
      <c r="A958">
        <f>Raw_Data!A958</f>
        <v>957</v>
      </c>
      <c r="B958">
        <f>Raw_Data!B958</f>
        <v>31</v>
      </c>
      <c r="C958">
        <f>Raw_Data!D958</f>
        <v>39</v>
      </c>
      <c r="D958">
        <f>Raw_Data!F958</f>
        <v>1</v>
      </c>
      <c r="E958">
        <f>Raw_Data!H958</f>
        <v>1</v>
      </c>
      <c r="F958">
        <f>Raw_Data!G958</f>
        <v>0</v>
      </c>
      <c r="G958">
        <f>Raw_Data!E958</f>
        <v>42163.9</v>
      </c>
      <c r="H958">
        <f>Raw_Data!I958</f>
        <v>37816.86</v>
      </c>
      <c r="I958">
        <f>Raw_Data!J958</f>
        <v>0</v>
      </c>
      <c r="J958">
        <f t="shared" si="29"/>
        <v>1</v>
      </c>
      <c r="K958" t="str">
        <f t="shared" si="30"/>
        <v>Low Risk</v>
      </c>
    </row>
    <row r="959" spans="1:11" x14ac:dyDescent="0.35">
      <c r="A959">
        <f>Raw_Data!A959</f>
        <v>958</v>
      </c>
      <c r="B959">
        <f>Raw_Data!B959</f>
        <v>43</v>
      </c>
      <c r="C959">
        <f>Raw_Data!D959</f>
        <v>35</v>
      </c>
      <c r="D959">
        <f>Raw_Data!F959</f>
        <v>3</v>
      </c>
      <c r="E959">
        <f>Raw_Data!H959</f>
        <v>0</v>
      </c>
      <c r="F959">
        <f>Raw_Data!G959</f>
        <v>0</v>
      </c>
      <c r="G959">
        <f>Raw_Data!E959</f>
        <v>4875.72</v>
      </c>
      <c r="H959">
        <f>Raw_Data!I959</f>
        <v>132087.49</v>
      </c>
      <c r="I959">
        <f>Raw_Data!J959</f>
        <v>0</v>
      </c>
      <c r="J959">
        <f t="shared" si="29"/>
        <v>2</v>
      </c>
      <c r="K959" t="str">
        <f t="shared" si="30"/>
        <v>Low Risk</v>
      </c>
    </row>
    <row r="960" spans="1:11" x14ac:dyDescent="0.35">
      <c r="A960">
        <f>Raw_Data!A960</f>
        <v>959</v>
      </c>
      <c r="B960">
        <f>Raw_Data!B960</f>
        <v>62</v>
      </c>
      <c r="C960">
        <f>Raw_Data!D960</f>
        <v>1</v>
      </c>
      <c r="D960">
        <f>Raw_Data!F960</f>
        <v>3</v>
      </c>
      <c r="E960">
        <f>Raw_Data!H960</f>
        <v>1</v>
      </c>
      <c r="F960">
        <f>Raw_Data!G960</f>
        <v>0</v>
      </c>
      <c r="G960">
        <f>Raw_Data!E960</f>
        <v>27949.03</v>
      </c>
      <c r="H960">
        <f>Raw_Data!I960</f>
        <v>126092.01</v>
      </c>
      <c r="I960">
        <f>Raw_Data!J960</f>
        <v>0</v>
      </c>
      <c r="J960">
        <f t="shared" si="29"/>
        <v>3</v>
      </c>
      <c r="K960" t="str">
        <f t="shared" si="30"/>
        <v>Medium Risk</v>
      </c>
    </row>
    <row r="961" spans="1:11" x14ac:dyDescent="0.35">
      <c r="A961">
        <f>Raw_Data!A961</f>
        <v>960</v>
      </c>
      <c r="B961">
        <f>Raw_Data!B961</f>
        <v>44</v>
      </c>
      <c r="C961">
        <f>Raw_Data!D961</f>
        <v>24</v>
      </c>
      <c r="D961">
        <f>Raw_Data!F961</f>
        <v>4</v>
      </c>
      <c r="E961">
        <f>Raw_Data!H961</f>
        <v>1</v>
      </c>
      <c r="F961">
        <f>Raw_Data!G961</f>
        <v>1</v>
      </c>
      <c r="G961">
        <f>Raw_Data!E961</f>
        <v>25054.39</v>
      </c>
      <c r="H961">
        <f>Raw_Data!I961</f>
        <v>147907.82999999999</v>
      </c>
      <c r="I961">
        <f>Raw_Data!J961</f>
        <v>0</v>
      </c>
      <c r="J961">
        <f t="shared" si="29"/>
        <v>2</v>
      </c>
      <c r="K961" t="str">
        <f t="shared" si="30"/>
        <v>Low Risk</v>
      </c>
    </row>
    <row r="962" spans="1:11" x14ac:dyDescent="0.35">
      <c r="A962">
        <f>Raw_Data!A962</f>
        <v>961</v>
      </c>
      <c r="B962">
        <f>Raw_Data!B962</f>
        <v>26</v>
      </c>
      <c r="C962">
        <f>Raw_Data!D962</f>
        <v>57</v>
      </c>
      <c r="D962">
        <f>Raw_Data!F962</f>
        <v>1</v>
      </c>
      <c r="E962">
        <f>Raw_Data!H962</f>
        <v>0</v>
      </c>
      <c r="F962">
        <f>Raw_Data!G962</f>
        <v>0</v>
      </c>
      <c r="G962">
        <f>Raw_Data!E962</f>
        <v>35309.660000000003</v>
      </c>
      <c r="H962">
        <f>Raw_Data!I962</f>
        <v>138266.68</v>
      </c>
      <c r="I962">
        <f>Raw_Data!J962</f>
        <v>0</v>
      </c>
      <c r="J962">
        <f t="shared" si="29"/>
        <v>2</v>
      </c>
      <c r="K962" t="str">
        <f t="shared" si="30"/>
        <v>Low Risk</v>
      </c>
    </row>
    <row r="963" spans="1:11" x14ac:dyDescent="0.35">
      <c r="A963">
        <f>Raw_Data!A963</f>
        <v>962</v>
      </c>
      <c r="B963">
        <f>Raw_Data!B963</f>
        <v>43</v>
      </c>
      <c r="C963">
        <f>Raw_Data!D963</f>
        <v>70</v>
      </c>
      <c r="D963">
        <f>Raw_Data!F963</f>
        <v>2</v>
      </c>
      <c r="E963">
        <f>Raw_Data!H963</f>
        <v>1</v>
      </c>
      <c r="F963">
        <f>Raw_Data!G963</f>
        <v>1</v>
      </c>
      <c r="G963">
        <f>Raw_Data!E963</f>
        <v>26714.53</v>
      </c>
      <c r="H963">
        <f>Raw_Data!I963</f>
        <v>130732.74</v>
      </c>
      <c r="I963">
        <f>Raw_Data!J963</f>
        <v>0</v>
      </c>
      <c r="J963">
        <f t="shared" ref="J963:J1001" si="31">IF(E963=0,2,0)+IF(D963=4,2,0)+IF(C963&lt;=12,2,0)+IF(B963&gt;=56,1,0)+IF(G963&gt;=40000,1,0)</f>
        <v>0</v>
      </c>
      <c r="K963" t="str">
        <f t="shared" ref="K963:K1001" si="32">IF(J963&gt;=5,"High Risk",IF(J963&gt;=3,"Medium Risk","Low Risk"))</f>
        <v>Low Risk</v>
      </c>
    </row>
    <row r="964" spans="1:11" x14ac:dyDescent="0.35">
      <c r="A964">
        <f>Raw_Data!A964</f>
        <v>963</v>
      </c>
      <c r="B964">
        <f>Raw_Data!B964</f>
        <v>64</v>
      </c>
      <c r="C964">
        <f>Raw_Data!D964</f>
        <v>41</v>
      </c>
      <c r="D964">
        <f>Raw_Data!F964</f>
        <v>1</v>
      </c>
      <c r="E964">
        <f>Raw_Data!H964</f>
        <v>0</v>
      </c>
      <c r="F964">
        <f>Raw_Data!G964</f>
        <v>0</v>
      </c>
      <c r="G964">
        <f>Raw_Data!E964</f>
        <v>27036.73</v>
      </c>
      <c r="H964">
        <f>Raw_Data!I964</f>
        <v>26834.67</v>
      </c>
      <c r="I964">
        <f>Raw_Data!J964</f>
        <v>0</v>
      </c>
      <c r="J964">
        <f t="shared" si="31"/>
        <v>3</v>
      </c>
      <c r="K964" t="str">
        <f t="shared" si="32"/>
        <v>Medium Risk</v>
      </c>
    </row>
    <row r="965" spans="1:11" x14ac:dyDescent="0.35">
      <c r="A965">
        <f>Raw_Data!A965</f>
        <v>964</v>
      </c>
      <c r="B965">
        <f>Raw_Data!B965</f>
        <v>39</v>
      </c>
      <c r="C965">
        <f>Raw_Data!D965</f>
        <v>54</v>
      </c>
      <c r="D965">
        <f>Raw_Data!F965</f>
        <v>3</v>
      </c>
      <c r="E965">
        <f>Raw_Data!H965</f>
        <v>0</v>
      </c>
      <c r="F965">
        <f>Raw_Data!G965</f>
        <v>1</v>
      </c>
      <c r="G965">
        <f>Raw_Data!E965</f>
        <v>21479.8</v>
      </c>
      <c r="H965">
        <f>Raw_Data!I965</f>
        <v>33574</v>
      </c>
      <c r="I965">
        <f>Raw_Data!J965</f>
        <v>0</v>
      </c>
      <c r="J965">
        <f t="shared" si="31"/>
        <v>2</v>
      </c>
      <c r="K965" t="str">
        <f t="shared" si="32"/>
        <v>Low Risk</v>
      </c>
    </row>
    <row r="966" spans="1:11" x14ac:dyDescent="0.35">
      <c r="A966">
        <f>Raw_Data!A966</f>
        <v>965</v>
      </c>
      <c r="B966">
        <f>Raw_Data!B966</f>
        <v>64</v>
      </c>
      <c r="C966">
        <f>Raw_Data!D966</f>
        <v>46</v>
      </c>
      <c r="D966">
        <f>Raw_Data!F966</f>
        <v>3</v>
      </c>
      <c r="E966">
        <f>Raw_Data!H966</f>
        <v>0</v>
      </c>
      <c r="F966">
        <f>Raw_Data!G966</f>
        <v>0</v>
      </c>
      <c r="G966">
        <f>Raw_Data!E966</f>
        <v>15441.72</v>
      </c>
      <c r="H966">
        <f>Raw_Data!I966</f>
        <v>93967.82</v>
      </c>
      <c r="I966">
        <f>Raw_Data!J966</f>
        <v>0</v>
      </c>
      <c r="J966">
        <f t="shared" si="31"/>
        <v>3</v>
      </c>
      <c r="K966" t="str">
        <f t="shared" si="32"/>
        <v>Medium Risk</v>
      </c>
    </row>
    <row r="967" spans="1:11" x14ac:dyDescent="0.35">
      <c r="A967">
        <f>Raw_Data!A967</f>
        <v>966</v>
      </c>
      <c r="B967">
        <f>Raw_Data!B967</f>
        <v>47</v>
      </c>
      <c r="C967">
        <f>Raw_Data!D967</f>
        <v>60</v>
      </c>
      <c r="D967">
        <f>Raw_Data!F967</f>
        <v>3</v>
      </c>
      <c r="E967">
        <f>Raw_Data!H967</f>
        <v>1</v>
      </c>
      <c r="F967">
        <f>Raw_Data!G967</f>
        <v>1</v>
      </c>
      <c r="G967">
        <f>Raw_Data!E967</f>
        <v>24113.22</v>
      </c>
      <c r="H967">
        <f>Raw_Data!I967</f>
        <v>89092.3</v>
      </c>
      <c r="I967">
        <f>Raw_Data!J967</f>
        <v>0</v>
      </c>
      <c r="J967">
        <f t="shared" si="31"/>
        <v>0</v>
      </c>
      <c r="K967" t="str">
        <f t="shared" si="32"/>
        <v>Low Risk</v>
      </c>
    </row>
    <row r="968" spans="1:11" x14ac:dyDescent="0.35">
      <c r="A968">
        <f>Raw_Data!A968</f>
        <v>967</v>
      </c>
      <c r="B968">
        <f>Raw_Data!B968</f>
        <v>60</v>
      </c>
      <c r="C968">
        <f>Raw_Data!D968</f>
        <v>60</v>
      </c>
      <c r="D968">
        <f>Raw_Data!F968</f>
        <v>1</v>
      </c>
      <c r="E968">
        <f>Raw_Data!H968</f>
        <v>1</v>
      </c>
      <c r="F968">
        <f>Raw_Data!G968</f>
        <v>1</v>
      </c>
      <c r="G968">
        <f>Raw_Data!E968</f>
        <v>5924.62</v>
      </c>
      <c r="H968">
        <f>Raw_Data!I968</f>
        <v>79535.22</v>
      </c>
      <c r="I968">
        <f>Raw_Data!J968</f>
        <v>0</v>
      </c>
      <c r="J968">
        <f t="shared" si="31"/>
        <v>1</v>
      </c>
      <c r="K968" t="str">
        <f t="shared" si="32"/>
        <v>Low Risk</v>
      </c>
    </row>
    <row r="969" spans="1:11" x14ac:dyDescent="0.35">
      <c r="A969">
        <f>Raw_Data!A969</f>
        <v>968</v>
      </c>
      <c r="B969">
        <f>Raw_Data!B969</f>
        <v>65</v>
      </c>
      <c r="C969">
        <f>Raw_Data!D969</f>
        <v>57</v>
      </c>
      <c r="D969">
        <f>Raw_Data!F969</f>
        <v>4</v>
      </c>
      <c r="E969">
        <f>Raw_Data!H969</f>
        <v>0</v>
      </c>
      <c r="F969">
        <f>Raw_Data!G969</f>
        <v>1</v>
      </c>
      <c r="G969">
        <f>Raw_Data!E969</f>
        <v>48075.67</v>
      </c>
      <c r="H969">
        <f>Raw_Data!I969</f>
        <v>71582.61</v>
      </c>
      <c r="I969">
        <f>Raw_Data!J969</f>
        <v>0</v>
      </c>
      <c r="J969">
        <f t="shared" si="31"/>
        <v>6</v>
      </c>
      <c r="K969" t="str">
        <f t="shared" si="32"/>
        <v>High Risk</v>
      </c>
    </row>
    <row r="970" spans="1:11" x14ac:dyDescent="0.35">
      <c r="A970">
        <f>Raw_Data!A970</f>
        <v>969</v>
      </c>
      <c r="B970">
        <f>Raw_Data!B970</f>
        <v>34</v>
      </c>
      <c r="C970">
        <f>Raw_Data!D970</f>
        <v>31</v>
      </c>
      <c r="D970">
        <f>Raw_Data!F970</f>
        <v>3</v>
      </c>
      <c r="E970">
        <f>Raw_Data!H970</f>
        <v>0</v>
      </c>
      <c r="F970">
        <f>Raw_Data!G970</f>
        <v>1</v>
      </c>
      <c r="G970">
        <f>Raw_Data!E970</f>
        <v>35720.54</v>
      </c>
      <c r="H970">
        <f>Raw_Data!I970</f>
        <v>76057.36</v>
      </c>
      <c r="I970">
        <f>Raw_Data!J970</f>
        <v>0</v>
      </c>
      <c r="J970">
        <f t="shared" si="31"/>
        <v>2</v>
      </c>
      <c r="K970" t="str">
        <f t="shared" si="32"/>
        <v>Low Risk</v>
      </c>
    </row>
    <row r="971" spans="1:11" x14ac:dyDescent="0.35">
      <c r="A971">
        <f>Raw_Data!A971</f>
        <v>970</v>
      </c>
      <c r="B971">
        <f>Raw_Data!B971</f>
        <v>43</v>
      </c>
      <c r="C971">
        <f>Raw_Data!D971</f>
        <v>24</v>
      </c>
      <c r="D971">
        <f>Raw_Data!F971</f>
        <v>3</v>
      </c>
      <c r="E971">
        <f>Raw_Data!H971</f>
        <v>1</v>
      </c>
      <c r="F971">
        <f>Raw_Data!G971</f>
        <v>1</v>
      </c>
      <c r="G971">
        <f>Raw_Data!E971</f>
        <v>47623.360000000001</v>
      </c>
      <c r="H971">
        <f>Raw_Data!I971</f>
        <v>94008.73</v>
      </c>
      <c r="I971">
        <f>Raw_Data!J971</f>
        <v>0</v>
      </c>
      <c r="J971">
        <f t="shared" si="31"/>
        <v>1</v>
      </c>
      <c r="K971" t="str">
        <f t="shared" si="32"/>
        <v>Low Risk</v>
      </c>
    </row>
    <row r="972" spans="1:11" x14ac:dyDescent="0.35">
      <c r="A972">
        <f>Raw_Data!A972</f>
        <v>971</v>
      </c>
      <c r="B972">
        <f>Raw_Data!B972</f>
        <v>53</v>
      </c>
      <c r="C972">
        <f>Raw_Data!D972</f>
        <v>36</v>
      </c>
      <c r="D972">
        <f>Raw_Data!F972</f>
        <v>1</v>
      </c>
      <c r="E972">
        <f>Raw_Data!H972</f>
        <v>1</v>
      </c>
      <c r="F972">
        <f>Raw_Data!G972</f>
        <v>1</v>
      </c>
      <c r="G972">
        <f>Raw_Data!E972</f>
        <v>11336.37</v>
      </c>
      <c r="H972">
        <f>Raw_Data!I972</f>
        <v>20269.95</v>
      </c>
      <c r="I972">
        <f>Raw_Data!J972</f>
        <v>0</v>
      </c>
      <c r="J972">
        <f t="shared" si="31"/>
        <v>0</v>
      </c>
      <c r="K972" t="str">
        <f t="shared" si="32"/>
        <v>Low Risk</v>
      </c>
    </row>
    <row r="973" spans="1:11" x14ac:dyDescent="0.35">
      <c r="A973">
        <f>Raw_Data!A973</f>
        <v>972</v>
      </c>
      <c r="B973">
        <f>Raw_Data!B973</f>
        <v>18</v>
      </c>
      <c r="C973">
        <f>Raw_Data!D973</f>
        <v>30</v>
      </c>
      <c r="D973">
        <f>Raw_Data!F973</f>
        <v>2</v>
      </c>
      <c r="E973">
        <f>Raw_Data!H973</f>
        <v>1</v>
      </c>
      <c r="F973">
        <f>Raw_Data!G973</f>
        <v>0</v>
      </c>
      <c r="G973">
        <f>Raw_Data!E973</f>
        <v>43967.05</v>
      </c>
      <c r="H973">
        <f>Raw_Data!I973</f>
        <v>53892.14</v>
      </c>
      <c r="I973">
        <f>Raw_Data!J973</f>
        <v>0</v>
      </c>
      <c r="J973">
        <f t="shared" si="31"/>
        <v>1</v>
      </c>
      <c r="K973" t="str">
        <f t="shared" si="32"/>
        <v>Low Risk</v>
      </c>
    </row>
    <row r="974" spans="1:11" x14ac:dyDescent="0.35">
      <c r="A974">
        <f>Raw_Data!A974</f>
        <v>973</v>
      </c>
      <c r="B974">
        <f>Raw_Data!B974</f>
        <v>25</v>
      </c>
      <c r="C974">
        <f>Raw_Data!D974</f>
        <v>24</v>
      </c>
      <c r="D974">
        <f>Raw_Data!F974</f>
        <v>2</v>
      </c>
      <c r="E974">
        <f>Raw_Data!H974</f>
        <v>0</v>
      </c>
      <c r="F974">
        <f>Raw_Data!G974</f>
        <v>1</v>
      </c>
      <c r="G974">
        <f>Raw_Data!E974</f>
        <v>40439.5</v>
      </c>
      <c r="H974">
        <f>Raw_Data!I974</f>
        <v>87376.36</v>
      </c>
      <c r="I974">
        <f>Raw_Data!J974</f>
        <v>0</v>
      </c>
      <c r="J974">
        <f t="shared" si="31"/>
        <v>3</v>
      </c>
      <c r="K974" t="str">
        <f t="shared" si="32"/>
        <v>Medium Risk</v>
      </c>
    </row>
    <row r="975" spans="1:11" x14ac:dyDescent="0.35">
      <c r="A975">
        <f>Raw_Data!A975</f>
        <v>974</v>
      </c>
      <c r="B975">
        <f>Raw_Data!B975</f>
        <v>66</v>
      </c>
      <c r="C975">
        <f>Raw_Data!D975</f>
        <v>30</v>
      </c>
      <c r="D975">
        <f>Raw_Data!F975</f>
        <v>4</v>
      </c>
      <c r="E975">
        <f>Raw_Data!H975</f>
        <v>0</v>
      </c>
      <c r="F975">
        <f>Raw_Data!G975</f>
        <v>1</v>
      </c>
      <c r="G975">
        <f>Raw_Data!E975</f>
        <v>33857.620000000003</v>
      </c>
      <c r="H975">
        <f>Raw_Data!I975</f>
        <v>113888.09</v>
      </c>
      <c r="I975">
        <f>Raw_Data!J975</f>
        <v>0</v>
      </c>
      <c r="J975">
        <f t="shared" si="31"/>
        <v>5</v>
      </c>
      <c r="K975" t="str">
        <f t="shared" si="32"/>
        <v>High Risk</v>
      </c>
    </row>
    <row r="976" spans="1:11" x14ac:dyDescent="0.35">
      <c r="A976">
        <f>Raw_Data!A976</f>
        <v>975</v>
      </c>
      <c r="B976">
        <f>Raw_Data!B976</f>
        <v>52</v>
      </c>
      <c r="C976">
        <f>Raw_Data!D976</f>
        <v>7</v>
      </c>
      <c r="D976">
        <f>Raw_Data!F976</f>
        <v>4</v>
      </c>
      <c r="E976">
        <f>Raw_Data!H976</f>
        <v>0</v>
      </c>
      <c r="F976">
        <f>Raw_Data!G976</f>
        <v>1</v>
      </c>
      <c r="G976">
        <f>Raw_Data!E976</f>
        <v>31251.46</v>
      </c>
      <c r="H976">
        <f>Raw_Data!I976</f>
        <v>42640.37</v>
      </c>
      <c r="I976">
        <f>Raw_Data!J976</f>
        <v>0</v>
      </c>
      <c r="J976">
        <f t="shared" si="31"/>
        <v>6</v>
      </c>
      <c r="K976" t="str">
        <f t="shared" si="32"/>
        <v>High Risk</v>
      </c>
    </row>
    <row r="977" spans="1:11" x14ac:dyDescent="0.35">
      <c r="A977">
        <f>Raw_Data!A977</f>
        <v>976</v>
      </c>
      <c r="B977">
        <f>Raw_Data!B977</f>
        <v>69</v>
      </c>
      <c r="C977">
        <f>Raw_Data!D977</f>
        <v>35</v>
      </c>
      <c r="D977">
        <f>Raw_Data!F977</f>
        <v>3</v>
      </c>
      <c r="E977">
        <f>Raw_Data!H977</f>
        <v>0</v>
      </c>
      <c r="F977">
        <f>Raw_Data!G977</f>
        <v>0</v>
      </c>
      <c r="G977">
        <f>Raw_Data!E977</f>
        <v>15827.48</v>
      </c>
      <c r="H977">
        <f>Raw_Data!I977</f>
        <v>91094.55</v>
      </c>
      <c r="I977">
        <f>Raw_Data!J977</f>
        <v>0</v>
      </c>
      <c r="J977">
        <f t="shared" si="31"/>
        <v>3</v>
      </c>
      <c r="K977" t="str">
        <f t="shared" si="32"/>
        <v>Medium Risk</v>
      </c>
    </row>
    <row r="978" spans="1:11" x14ac:dyDescent="0.35">
      <c r="A978">
        <f>Raw_Data!A978</f>
        <v>977</v>
      </c>
      <c r="B978">
        <f>Raw_Data!B978</f>
        <v>32</v>
      </c>
      <c r="C978">
        <f>Raw_Data!D978</f>
        <v>55</v>
      </c>
      <c r="D978">
        <f>Raw_Data!F978</f>
        <v>1</v>
      </c>
      <c r="E978">
        <f>Raw_Data!H978</f>
        <v>0</v>
      </c>
      <c r="F978">
        <f>Raw_Data!G978</f>
        <v>0</v>
      </c>
      <c r="G978">
        <f>Raw_Data!E978</f>
        <v>40820.54</v>
      </c>
      <c r="H978">
        <f>Raw_Data!I978</f>
        <v>112879.76</v>
      </c>
      <c r="I978">
        <f>Raw_Data!J978</f>
        <v>0</v>
      </c>
      <c r="J978">
        <f t="shared" si="31"/>
        <v>3</v>
      </c>
      <c r="K978" t="str">
        <f t="shared" si="32"/>
        <v>Medium Risk</v>
      </c>
    </row>
    <row r="979" spans="1:11" x14ac:dyDescent="0.35">
      <c r="A979">
        <f>Raw_Data!A979</f>
        <v>978</v>
      </c>
      <c r="B979">
        <f>Raw_Data!B979</f>
        <v>64</v>
      </c>
      <c r="C979">
        <f>Raw_Data!D979</f>
        <v>14</v>
      </c>
      <c r="D979">
        <f>Raw_Data!F979</f>
        <v>3</v>
      </c>
      <c r="E979">
        <f>Raw_Data!H979</f>
        <v>1</v>
      </c>
      <c r="F979">
        <f>Raw_Data!G979</f>
        <v>0</v>
      </c>
      <c r="G979">
        <f>Raw_Data!E979</f>
        <v>25075.77</v>
      </c>
      <c r="H979">
        <f>Raw_Data!I979</f>
        <v>77801.600000000006</v>
      </c>
      <c r="I979">
        <f>Raw_Data!J979</f>
        <v>0</v>
      </c>
      <c r="J979">
        <f t="shared" si="31"/>
        <v>1</v>
      </c>
      <c r="K979" t="str">
        <f t="shared" si="32"/>
        <v>Low Risk</v>
      </c>
    </row>
    <row r="980" spans="1:11" x14ac:dyDescent="0.35">
      <c r="A980">
        <f>Raw_Data!A980</f>
        <v>979</v>
      </c>
      <c r="B980">
        <f>Raw_Data!B980</f>
        <v>39</v>
      </c>
      <c r="C980">
        <f>Raw_Data!D980</f>
        <v>10</v>
      </c>
      <c r="D980">
        <f>Raw_Data!F980</f>
        <v>4</v>
      </c>
      <c r="E980">
        <f>Raw_Data!H980</f>
        <v>0</v>
      </c>
      <c r="F980">
        <f>Raw_Data!G980</f>
        <v>1</v>
      </c>
      <c r="G980">
        <f>Raw_Data!E980</f>
        <v>3544.58</v>
      </c>
      <c r="H980">
        <f>Raw_Data!I980</f>
        <v>23520.55</v>
      </c>
      <c r="I980">
        <f>Raw_Data!J980</f>
        <v>1</v>
      </c>
      <c r="J980">
        <f t="shared" si="31"/>
        <v>6</v>
      </c>
      <c r="K980" t="str">
        <f t="shared" si="32"/>
        <v>High Risk</v>
      </c>
    </row>
    <row r="981" spans="1:11" x14ac:dyDescent="0.35">
      <c r="A981">
        <f>Raw_Data!A981</f>
        <v>980</v>
      </c>
      <c r="B981">
        <f>Raw_Data!B981</f>
        <v>31</v>
      </c>
      <c r="C981">
        <f>Raw_Data!D981</f>
        <v>16</v>
      </c>
      <c r="D981">
        <f>Raw_Data!F981</f>
        <v>1</v>
      </c>
      <c r="E981">
        <f>Raw_Data!H981</f>
        <v>1</v>
      </c>
      <c r="F981">
        <f>Raw_Data!G981</f>
        <v>0</v>
      </c>
      <c r="G981">
        <f>Raw_Data!E981</f>
        <v>15643.16</v>
      </c>
      <c r="H981">
        <f>Raw_Data!I981</f>
        <v>78404.86</v>
      </c>
      <c r="I981">
        <f>Raw_Data!J981</f>
        <v>0</v>
      </c>
      <c r="J981">
        <f t="shared" si="31"/>
        <v>0</v>
      </c>
      <c r="K981" t="str">
        <f t="shared" si="32"/>
        <v>Low Risk</v>
      </c>
    </row>
    <row r="982" spans="1:11" x14ac:dyDescent="0.35">
      <c r="A982">
        <f>Raw_Data!A982</f>
        <v>981</v>
      </c>
      <c r="B982">
        <f>Raw_Data!B982</f>
        <v>43</v>
      </c>
      <c r="C982">
        <f>Raw_Data!D982</f>
        <v>54</v>
      </c>
      <c r="D982">
        <f>Raw_Data!F982</f>
        <v>1</v>
      </c>
      <c r="E982">
        <f>Raw_Data!H982</f>
        <v>1</v>
      </c>
      <c r="F982">
        <f>Raw_Data!G982</f>
        <v>0</v>
      </c>
      <c r="G982">
        <f>Raw_Data!E982</f>
        <v>46764.85</v>
      </c>
      <c r="H982">
        <f>Raw_Data!I982</f>
        <v>58537.84</v>
      </c>
      <c r="I982">
        <f>Raw_Data!J982</f>
        <v>0</v>
      </c>
      <c r="J982">
        <f t="shared" si="31"/>
        <v>1</v>
      </c>
      <c r="K982" t="str">
        <f t="shared" si="32"/>
        <v>Low Risk</v>
      </c>
    </row>
    <row r="983" spans="1:11" x14ac:dyDescent="0.35">
      <c r="A983">
        <f>Raw_Data!A983</f>
        <v>982</v>
      </c>
      <c r="B983">
        <f>Raw_Data!B983</f>
        <v>45</v>
      </c>
      <c r="C983">
        <f>Raw_Data!D983</f>
        <v>70</v>
      </c>
      <c r="D983">
        <f>Raw_Data!F983</f>
        <v>4</v>
      </c>
      <c r="E983">
        <f>Raw_Data!H983</f>
        <v>0</v>
      </c>
      <c r="F983">
        <f>Raw_Data!G983</f>
        <v>1</v>
      </c>
      <c r="G983">
        <f>Raw_Data!E983</f>
        <v>42534.01</v>
      </c>
      <c r="H983">
        <f>Raw_Data!I983</f>
        <v>140854.45000000001</v>
      </c>
      <c r="I983">
        <f>Raw_Data!J983</f>
        <v>0</v>
      </c>
      <c r="J983">
        <f t="shared" si="31"/>
        <v>5</v>
      </c>
      <c r="K983" t="str">
        <f t="shared" si="32"/>
        <v>High Risk</v>
      </c>
    </row>
    <row r="984" spans="1:11" x14ac:dyDescent="0.35">
      <c r="A984">
        <f>Raw_Data!A984</f>
        <v>983</v>
      </c>
      <c r="B984">
        <f>Raw_Data!B984</f>
        <v>40</v>
      </c>
      <c r="C984">
        <f>Raw_Data!D984</f>
        <v>44</v>
      </c>
      <c r="D984">
        <f>Raw_Data!F984</f>
        <v>2</v>
      </c>
      <c r="E984">
        <f>Raw_Data!H984</f>
        <v>1</v>
      </c>
      <c r="F984">
        <f>Raw_Data!G984</f>
        <v>1</v>
      </c>
      <c r="G984">
        <f>Raw_Data!E984</f>
        <v>49095.28</v>
      </c>
      <c r="H984">
        <f>Raw_Data!I984</f>
        <v>36199.74</v>
      </c>
      <c r="I984">
        <f>Raw_Data!J984</f>
        <v>0</v>
      </c>
      <c r="J984">
        <f t="shared" si="31"/>
        <v>1</v>
      </c>
      <c r="K984" t="str">
        <f t="shared" si="32"/>
        <v>Low Risk</v>
      </c>
    </row>
    <row r="985" spans="1:11" x14ac:dyDescent="0.35">
      <c r="A985">
        <f>Raw_Data!A985</f>
        <v>984</v>
      </c>
      <c r="B985">
        <f>Raw_Data!B985</f>
        <v>31</v>
      </c>
      <c r="C985">
        <f>Raw_Data!D985</f>
        <v>45</v>
      </c>
      <c r="D985">
        <f>Raw_Data!F985</f>
        <v>2</v>
      </c>
      <c r="E985">
        <f>Raw_Data!H985</f>
        <v>0</v>
      </c>
      <c r="F985">
        <f>Raw_Data!G985</f>
        <v>0</v>
      </c>
      <c r="G985">
        <f>Raw_Data!E985</f>
        <v>31399.67</v>
      </c>
      <c r="H985">
        <f>Raw_Data!I985</f>
        <v>104821.87</v>
      </c>
      <c r="I985">
        <f>Raw_Data!J985</f>
        <v>0</v>
      </c>
      <c r="J985">
        <f t="shared" si="31"/>
        <v>2</v>
      </c>
      <c r="K985" t="str">
        <f t="shared" si="32"/>
        <v>Low Risk</v>
      </c>
    </row>
    <row r="986" spans="1:11" x14ac:dyDescent="0.35">
      <c r="A986">
        <f>Raw_Data!A986</f>
        <v>985</v>
      </c>
      <c r="B986">
        <f>Raw_Data!B986</f>
        <v>41</v>
      </c>
      <c r="C986">
        <f>Raw_Data!D986</f>
        <v>56</v>
      </c>
      <c r="D986">
        <f>Raw_Data!F986</f>
        <v>1</v>
      </c>
      <c r="E986">
        <f>Raw_Data!H986</f>
        <v>1</v>
      </c>
      <c r="F986">
        <f>Raw_Data!G986</f>
        <v>1</v>
      </c>
      <c r="G986">
        <f>Raw_Data!E986</f>
        <v>12375.5</v>
      </c>
      <c r="H986">
        <f>Raw_Data!I986</f>
        <v>26853.57</v>
      </c>
      <c r="I986">
        <f>Raw_Data!J986</f>
        <v>0</v>
      </c>
      <c r="J986">
        <f t="shared" si="31"/>
        <v>0</v>
      </c>
      <c r="K986" t="str">
        <f t="shared" si="32"/>
        <v>Low Risk</v>
      </c>
    </row>
    <row r="987" spans="1:11" x14ac:dyDescent="0.35">
      <c r="A987">
        <f>Raw_Data!A987</f>
        <v>986</v>
      </c>
      <c r="B987">
        <f>Raw_Data!B987</f>
        <v>19</v>
      </c>
      <c r="C987">
        <f>Raw_Data!D987</f>
        <v>57</v>
      </c>
      <c r="D987">
        <f>Raw_Data!F987</f>
        <v>3</v>
      </c>
      <c r="E987">
        <f>Raw_Data!H987</f>
        <v>0</v>
      </c>
      <c r="F987">
        <f>Raw_Data!G987</f>
        <v>1</v>
      </c>
      <c r="G987">
        <f>Raw_Data!E987</f>
        <v>8140.75</v>
      </c>
      <c r="H987">
        <f>Raw_Data!I987</f>
        <v>78002.16</v>
      </c>
      <c r="I987">
        <f>Raw_Data!J987</f>
        <v>0</v>
      </c>
      <c r="J987">
        <f t="shared" si="31"/>
        <v>2</v>
      </c>
      <c r="K987" t="str">
        <f t="shared" si="32"/>
        <v>Low Risk</v>
      </c>
    </row>
    <row r="988" spans="1:11" x14ac:dyDescent="0.35">
      <c r="A988">
        <f>Raw_Data!A988</f>
        <v>987</v>
      </c>
      <c r="B988">
        <f>Raw_Data!B988</f>
        <v>62</v>
      </c>
      <c r="C988">
        <f>Raw_Data!D988</f>
        <v>21</v>
      </c>
      <c r="D988">
        <f>Raw_Data!F988</f>
        <v>2</v>
      </c>
      <c r="E988">
        <f>Raw_Data!H988</f>
        <v>0</v>
      </c>
      <c r="F988">
        <f>Raw_Data!G988</f>
        <v>1</v>
      </c>
      <c r="G988">
        <f>Raw_Data!E988</f>
        <v>9345.7199999999993</v>
      </c>
      <c r="H988">
        <f>Raw_Data!I988</f>
        <v>92017.33</v>
      </c>
      <c r="I988">
        <f>Raw_Data!J988</f>
        <v>0</v>
      </c>
      <c r="J988">
        <f t="shared" si="31"/>
        <v>3</v>
      </c>
      <c r="K988" t="str">
        <f t="shared" si="32"/>
        <v>Medium Risk</v>
      </c>
    </row>
    <row r="989" spans="1:11" x14ac:dyDescent="0.35">
      <c r="A989">
        <f>Raw_Data!A989</f>
        <v>988</v>
      </c>
      <c r="B989">
        <f>Raw_Data!B989</f>
        <v>43</v>
      </c>
      <c r="C989">
        <f>Raw_Data!D989</f>
        <v>68</v>
      </c>
      <c r="D989">
        <f>Raw_Data!F989</f>
        <v>3</v>
      </c>
      <c r="E989">
        <f>Raw_Data!H989</f>
        <v>1</v>
      </c>
      <c r="F989">
        <f>Raw_Data!G989</f>
        <v>1</v>
      </c>
      <c r="G989">
        <f>Raw_Data!E989</f>
        <v>989.78</v>
      </c>
      <c r="H989">
        <f>Raw_Data!I989</f>
        <v>58734.14</v>
      </c>
      <c r="I989">
        <f>Raw_Data!J989</f>
        <v>0</v>
      </c>
      <c r="J989">
        <f t="shared" si="31"/>
        <v>0</v>
      </c>
      <c r="K989" t="str">
        <f t="shared" si="32"/>
        <v>Low Risk</v>
      </c>
    </row>
    <row r="990" spans="1:11" x14ac:dyDescent="0.35">
      <c r="A990">
        <f>Raw_Data!A990</f>
        <v>989</v>
      </c>
      <c r="B990">
        <f>Raw_Data!B990</f>
        <v>31</v>
      </c>
      <c r="C990">
        <f>Raw_Data!D990</f>
        <v>50</v>
      </c>
      <c r="D990">
        <f>Raw_Data!F990</f>
        <v>2</v>
      </c>
      <c r="E990">
        <f>Raw_Data!H990</f>
        <v>0</v>
      </c>
      <c r="F990">
        <f>Raw_Data!G990</f>
        <v>0</v>
      </c>
      <c r="G990">
        <f>Raw_Data!E990</f>
        <v>19534.11</v>
      </c>
      <c r="H990">
        <f>Raw_Data!I990</f>
        <v>79159.83</v>
      </c>
      <c r="I990">
        <f>Raw_Data!J990</f>
        <v>0</v>
      </c>
      <c r="J990">
        <f t="shared" si="31"/>
        <v>2</v>
      </c>
      <c r="K990" t="str">
        <f t="shared" si="32"/>
        <v>Low Risk</v>
      </c>
    </row>
    <row r="991" spans="1:11" x14ac:dyDescent="0.35">
      <c r="A991">
        <f>Raw_Data!A991</f>
        <v>990</v>
      </c>
      <c r="B991">
        <f>Raw_Data!B991</f>
        <v>68</v>
      </c>
      <c r="C991">
        <f>Raw_Data!D991</f>
        <v>33</v>
      </c>
      <c r="D991">
        <f>Raw_Data!F991</f>
        <v>2</v>
      </c>
      <c r="E991">
        <f>Raw_Data!H991</f>
        <v>1</v>
      </c>
      <c r="F991">
        <f>Raw_Data!G991</f>
        <v>1</v>
      </c>
      <c r="G991">
        <f>Raw_Data!E991</f>
        <v>9571.3799999999992</v>
      </c>
      <c r="H991">
        <f>Raw_Data!I991</f>
        <v>41261.99</v>
      </c>
      <c r="I991">
        <f>Raw_Data!J991</f>
        <v>0</v>
      </c>
      <c r="J991">
        <f t="shared" si="31"/>
        <v>1</v>
      </c>
      <c r="K991" t="str">
        <f t="shared" si="32"/>
        <v>Low Risk</v>
      </c>
    </row>
    <row r="992" spans="1:11" x14ac:dyDescent="0.35">
      <c r="A992">
        <f>Raw_Data!A992</f>
        <v>991</v>
      </c>
      <c r="B992">
        <f>Raw_Data!B992</f>
        <v>24</v>
      </c>
      <c r="C992">
        <f>Raw_Data!D992</f>
        <v>7</v>
      </c>
      <c r="D992">
        <f>Raw_Data!F992</f>
        <v>3</v>
      </c>
      <c r="E992">
        <f>Raw_Data!H992</f>
        <v>0</v>
      </c>
      <c r="F992">
        <f>Raw_Data!G992</f>
        <v>0</v>
      </c>
      <c r="G992">
        <f>Raw_Data!E992</f>
        <v>20582.77</v>
      </c>
      <c r="H992">
        <f>Raw_Data!I992</f>
        <v>59536.1</v>
      </c>
      <c r="I992">
        <f>Raw_Data!J992</f>
        <v>0</v>
      </c>
      <c r="J992">
        <f t="shared" si="31"/>
        <v>4</v>
      </c>
      <c r="K992" t="str">
        <f t="shared" si="32"/>
        <v>Medium Risk</v>
      </c>
    </row>
    <row r="993" spans="1:11" x14ac:dyDescent="0.35">
      <c r="A993">
        <f>Raw_Data!A993</f>
        <v>992</v>
      </c>
      <c r="B993">
        <f>Raw_Data!B993</f>
        <v>20</v>
      </c>
      <c r="C993">
        <f>Raw_Data!D993</f>
        <v>70</v>
      </c>
      <c r="D993">
        <f>Raw_Data!F993</f>
        <v>4</v>
      </c>
      <c r="E993">
        <f>Raw_Data!H993</f>
        <v>0</v>
      </c>
      <c r="F993">
        <f>Raw_Data!G993</f>
        <v>0</v>
      </c>
      <c r="G993">
        <f>Raw_Data!E993</f>
        <v>46749.72</v>
      </c>
      <c r="H993">
        <f>Raw_Data!I993</f>
        <v>100743.82</v>
      </c>
      <c r="I993">
        <f>Raw_Data!J993</f>
        <v>0</v>
      </c>
      <c r="J993">
        <f t="shared" si="31"/>
        <v>5</v>
      </c>
      <c r="K993" t="str">
        <f t="shared" si="32"/>
        <v>High Risk</v>
      </c>
    </row>
    <row r="994" spans="1:11" x14ac:dyDescent="0.35">
      <c r="A994">
        <f>Raw_Data!A994</f>
        <v>993</v>
      </c>
      <c r="B994">
        <f>Raw_Data!B994</f>
        <v>64</v>
      </c>
      <c r="C994">
        <f>Raw_Data!D994</f>
        <v>15</v>
      </c>
      <c r="D994">
        <f>Raw_Data!F994</f>
        <v>2</v>
      </c>
      <c r="E994">
        <f>Raw_Data!H994</f>
        <v>0</v>
      </c>
      <c r="F994">
        <f>Raw_Data!G994</f>
        <v>0</v>
      </c>
      <c r="G994">
        <f>Raw_Data!E994</f>
        <v>21527.01</v>
      </c>
      <c r="H994">
        <f>Raw_Data!I994</f>
        <v>59234.01</v>
      </c>
      <c r="I994">
        <f>Raw_Data!J994</f>
        <v>0</v>
      </c>
      <c r="J994">
        <f t="shared" si="31"/>
        <v>3</v>
      </c>
      <c r="K994" t="str">
        <f t="shared" si="32"/>
        <v>Medium Risk</v>
      </c>
    </row>
    <row r="995" spans="1:11" x14ac:dyDescent="0.35">
      <c r="A995">
        <f>Raw_Data!A995</f>
        <v>994</v>
      </c>
      <c r="B995">
        <f>Raw_Data!B995</f>
        <v>40</v>
      </c>
      <c r="C995">
        <f>Raw_Data!D995</f>
        <v>32</v>
      </c>
      <c r="D995">
        <f>Raw_Data!F995</f>
        <v>2</v>
      </c>
      <c r="E995">
        <f>Raw_Data!H995</f>
        <v>1</v>
      </c>
      <c r="F995">
        <f>Raw_Data!G995</f>
        <v>0</v>
      </c>
      <c r="G995">
        <f>Raw_Data!E995</f>
        <v>43899.22</v>
      </c>
      <c r="H995">
        <f>Raw_Data!I995</f>
        <v>136966.6</v>
      </c>
      <c r="I995">
        <f>Raw_Data!J995</f>
        <v>0</v>
      </c>
      <c r="J995">
        <f t="shared" si="31"/>
        <v>1</v>
      </c>
      <c r="K995" t="str">
        <f t="shared" si="32"/>
        <v>Low Risk</v>
      </c>
    </row>
    <row r="996" spans="1:11" x14ac:dyDescent="0.35">
      <c r="A996">
        <f>Raw_Data!A996</f>
        <v>995</v>
      </c>
      <c r="B996">
        <f>Raw_Data!B996</f>
        <v>63</v>
      </c>
      <c r="C996">
        <f>Raw_Data!D996</f>
        <v>20</v>
      </c>
      <c r="D996">
        <f>Raw_Data!F996</f>
        <v>3</v>
      </c>
      <c r="E996">
        <f>Raw_Data!H996</f>
        <v>1</v>
      </c>
      <c r="F996">
        <f>Raw_Data!G996</f>
        <v>1</v>
      </c>
      <c r="G996">
        <f>Raw_Data!E996</f>
        <v>30275.24</v>
      </c>
      <c r="H996">
        <f>Raw_Data!I996</f>
        <v>101692.9</v>
      </c>
      <c r="I996">
        <f>Raw_Data!J996</f>
        <v>0</v>
      </c>
      <c r="J996">
        <f t="shared" si="31"/>
        <v>1</v>
      </c>
      <c r="K996" t="str">
        <f t="shared" si="32"/>
        <v>Low Risk</v>
      </c>
    </row>
    <row r="997" spans="1:11" x14ac:dyDescent="0.35">
      <c r="A997">
        <f>Raw_Data!A997</f>
        <v>996</v>
      </c>
      <c r="B997">
        <f>Raw_Data!B997</f>
        <v>60</v>
      </c>
      <c r="C997">
        <f>Raw_Data!D997</f>
        <v>15</v>
      </c>
      <c r="D997">
        <f>Raw_Data!F997</f>
        <v>4</v>
      </c>
      <c r="E997">
        <f>Raw_Data!H997</f>
        <v>0</v>
      </c>
      <c r="F997">
        <f>Raw_Data!G997</f>
        <v>1</v>
      </c>
      <c r="G997">
        <f>Raw_Data!E997</f>
        <v>12356.58</v>
      </c>
      <c r="H997">
        <f>Raw_Data!I997</f>
        <v>77024.37</v>
      </c>
      <c r="I997">
        <f>Raw_Data!J997</f>
        <v>0</v>
      </c>
      <c r="J997">
        <f t="shared" si="31"/>
        <v>5</v>
      </c>
      <c r="K997" t="str">
        <f t="shared" si="32"/>
        <v>High Risk</v>
      </c>
    </row>
    <row r="998" spans="1:11" x14ac:dyDescent="0.35">
      <c r="A998">
        <f>Raw_Data!A998</f>
        <v>997</v>
      </c>
      <c r="B998">
        <f>Raw_Data!B998</f>
        <v>64</v>
      </c>
      <c r="C998">
        <f>Raw_Data!D998</f>
        <v>48</v>
      </c>
      <c r="D998">
        <f>Raw_Data!F998</f>
        <v>2</v>
      </c>
      <c r="E998">
        <f>Raw_Data!H998</f>
        <v>1</v>
      </c>
      <c r="F998">
        <f>Raw_Data!G998</f>
        <v>1</v>
      </c>
      <c r="G998">
        <f>Raw_Data!E998</f>
        <v>17792.740000000002</v>
      </c>
      <c r="H998">
        <f>Raw_Data!I998</f>
        <v>25038.400000000001</v>
      </c>
      <c r="I998">
        <f>Raw_Data!J998</f>
        <v>0</v>
      </c>
      <c r="J998">
        <f t="shared" si="31"/>
        <v>1</v>
      </c>
      <c r="K998" t="str">
        <f t="shared" si="32"/>
        <v>Low Risk</v>
      </c>
    </row>
    <row r="999" spans="1:11" x14ac:dyDescent="0.35">
      <c r="A999">
        <f>Raw_Data!A999</f>
        <v>998</v>
      </c>
      <c r="B999">
        <f>Raw_Data!B999</f>
        <v>62</v>
      </c>
      <c r="C999">
        <f>Raw_Data!D999</f>
        <v>71</v>
      </c>
      <c r="D999">
        <f>Raw_Data!F999</f>
        <v>2</v>
      </c>
      <c r="E999">
        <f>Raw_Data!H999</f>
        <v>0</v>
      </c>
      <c r="F999">
        <f>Raw_Data!G999</f>
        <v>0</v>
      </c>
      <c r="G999">
        <f>Raw_Data!E999</f>
        <v>4195.9799999999996</v>
      </c>
      <c r="H999">
        <f>Raw_Data!I999</f>
        <v>84941.28</v>
      </c>
      <c r="I999">
        <f>Raw_Data!J999</f>
        <v>0</v>
      </c>
      <c r="J999">
        <f t="shared" si="31"/>
        <v>3</v>
      </c>
      <c r="K999" t="str">
        <f t="shared" si="32"/>
        <v>Medium Risk</v>
      </c>
    </row>
    <row r="1000" spans="1:11" x14ac:dyDescent="0.35">
      <c r="A1000">
        <f>Raw_Data!A1000</f>
        <v>999</v>
      </c>
      <c r="B1000">
        <f>Raw_Data!B1000</f>
        <v>35</v>
      </c>
      <c r="C1000">
        <f>Raw_Data!D1000</f>
        <v>21</v>
      </c>
      <c r="D1000">
        <f>Raw_Data!F1000</f>
        <v>4</v>
      </c>
      <c r="E1000">
        <f>Raw_Data!H1000</f>
        <v>1</v>
      </c>
      <c r="F1000">
        <f>Raw_Data!G1000</f>
        <v>0</v>
      </c>
      <c r="G1000">
        <f>Raw_Data!E1000</f>
        <v>16673.13</v>
      </c>
      <c r="H1000">
        <f>Raw_Data!I1000</f>
        <v>119420.91</v>
      </c>
      <c r="I1000">
        <f>Raw_Data!J1000</f>
        <v>0</v>
      </c>
      <c r="J1000">
        <f t="shared" si="31"/>
        <v>2</v>
      </c>
      <c r="K1000" t="str">
        <f t="shared" si="32"/>
        <v>Low Risk</v>
      </c>
    </row>
    <row r="1001" spans="1:11" x14ac:dyDescent="0.35">
      <c r="A1001">
        <f>Raw_Data!A1001</f>
        <v>1000</v>
      </c>
      <c r="B1001">
        <f>Raw_Data!B1001</f>
        <v>55</v>
      </c>
      <c r="C1001">
        <f>Raw_Data!D1001</f>
        <v>42</v>
      </c>
      <c r="D1001">
        <f>Raw_Data!F1001</f>
        <v>2</v>
      </c>
      <c r="E1001">
        <f>Raw_Data!H1001</f>
        <v>1</v>
      </c>
      <c r="F1001">
        <f>Raw_Data!G1001</f>
        <v>0</v>
      </c>
      <c r="G1001">
        <f>Raw_Data!E1001</f>
        <v>33877.050000000003</v>
      </c>
      <c r="H1001">
        <f>Raw_Data!I1001</f>
        <v>54522.49</v>
      </c>
      <c r="I1001">
        <f>Raw_Data!J1001</f>
        <v>0</v>
      </c>
      <c r="J1001">
        <f t="shared" si="31"/>
        <v>0</v>
      </c>
      <c r="K1001" t="str">
        <f t="shared" si="32"/>
        <v>Low Risk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46C9-2359-4BCB-B09E-2249DC0B0C03}">
  <dimension ref="A1:H60"/>
  <sheetViews>
    <sheetView workbookViewId="0">
      <selection activeCell="A60" sqref="A59:A60"/>
    </sheetView>
  </sheetViews>
  <sheetFormatPr defaultRowHeight="14.5" x14ac:dyDescent="0.35"/>
  <cols>
    <col min="1" max="1" width="46.81640625" customWidth="1"/>
    <col min="2" max="2" width="13.453125" customWidth="1"/>
    <col min="3" max="3" width="10" customWidth="1"/>
    <col min="6" max="6" width="17.453125" customWidth="1"/>
    <col min="7" max="7" width="21.453125" customWidth="1"/>
    <col min="8" max="8" width="18" customWidth="1"/>
  </cols>
  <sheetData>
    <row r="1" spans="1:3" ht="15.5" x14ac:dyDescent="0.35">
      <c r="A1" s="6" t="s">
        <v>135</v>
      </c>
    </row>
    <row r="2" spans="1:3" x14ac:dyDescent="0.35">
      <c r="A2" t="s">
        <v>136</v>
      </c>
      <c r="B2" t="s">
        <v>137</v>
      </c>
      <c r="C2" t="s">
        <v>87</v>
      </c>
    </row>
    <row r="3" spans="1:3" x14ac:dyDescent="0.35">
      <c r="A3" t="s">
        <v>105</v>
      </c>
      <c r="B3">
        <f>COUNTIFS(Raw_Data!H2:H1001,0,Raw_Data!J2:J1001,0)</f>
        <v>483</v>
      </c>
      <c r="C3">
        <f>COUNTIFS(Raw_Data!H2:H1001,0,Raw_Data!J2:J1001,1)</f>
        <v>17</v>
      </c>
    </row>
    <row r="4" spans="1:3" x14ac:dyDescent="0.35">
      <c r="A4" t="s">
        <v>106</v>
      </c>
      <c r="B4">
        <f>COUNTIFS(Raw_Data!H2:H1001,1,Raw_Data!J2:J1001,0)</f>
        <v>500</v>
      </c>
      <c r="C4">
        <f>COUNTIFS(Raw_Data!H2:H1001,1,Raw_Data!J2:J1001,1)</f>
        <v>0</v>
      </c>
    </row>
    <row r="7" spans="1:3" ht="15.5" x14ac:dyDescent="0.35">
      <c r="A7" s="6" t="s">
        <v>138</v>
      </c>
    </row>
    <row r="8" spans="1:3" x14ac:dyDescent="0.35">
      <c r="A8" t="s">
        <v>121</v>
      </c>
      <c r="B8" t="s">
        <v>137</v>
      </c>
      <c r="C8" t="s">
        <v>87</v>
      </c>
    </row>
    <row r="9" spans="1:3" x14ac:dyDescent="0.35">
      <c r="A9">
        <v>1</v>
      </c>
      <c r="B9">
        <f>COUNTIFS(Raw_Data!F2:F1001,1,Raw_Data!J2:J1001,0)</f>
        <v>241</v>
      </c>
      <c r="C9">
        <f>COUNTIFS(Raw_Data!F2:F1001,1,Raw_Data!J2:J1001,1)</f>
        <v>4</v>
      </c>
    </row>
    <row r="10" spans="1:3" x14ac:dyDescent="0.35">
      <c r="A10">
        <v>2</v>
      </c>
      <c r="B10">
        <f>COUNTIFS(Raw_Data!F2:F1001,2,Raw_Data!J2:J1001,0)</f>
        <v>257</v>
      </c>
      <c r="C10">
        <f>COUNTIFS(Raw_Data!F2:F1001,2,Raw_Data!J2:J1001,1)</f>
        <v>2</v>
      </c>
    </row>
    <row r="11" spans="1:3" x14ac:dyDescent="0.35">
      <c r="A11">
        <v>3</v>
      </c>
      <c r="B11">
        <f>COUNTIFS(Raw_Data!F2:F1001,3,Raw_Data!J2:J1001,0)</f>
        <v>260</v>
      </c>
      <c r="C11">
        <f>COUNTIFS(Raw_Data!F2:F1001,3,Raw_Data!J2:J1001,1)</f>
        <v>2</v>
      </c>
    </row>
    <row r="12" spans="1:3" x14ac:dyDescent="0.35">
      <c r="A12">
        <v>4</v>
      </c>
      <c r="B12">
        <f>COUNTIFS(Raw_Data!F2:F1001,4,Raw_Data!J2:J1001,0)</f>
        <v>225</v>
      </c>
      <c r="C12">
        <f>COUNTIFS(Raw_Data!F2:F1001,4,Raw_Data!J2:J1001,1)</f>
        <v>9</v>
      </c>
    </row>
    <row r="13" spans="1:3" x14ac:dyDescent="0.35">
      <c r="A13" t="s">
        <v>88</v>
      </c>
      <c r="B13">
        <f>SUM(B9:B12)</f>
        <v>983</v>
      </c>
      <c r="C13">
        <f>SUM(C9:C12)</f>
        <v>17</v>
      </c>
    </row>
    <row r="15" spans="1:3" ht="15.5" x14ac:dyDescent="0.35">
      <c r="A15" s="6" t="s">
        <v>170</v>
      </c>
      <c r="B15" s="6" t="s">
        <v>171</v>
      </c>
    </row>
    <row r="16" spans="1:3" ht="15.5" x14ac:dyDescent="0.35">
      <c r="A16" s="6" t="s">
        <v>139</v>
      </c>
      <c r="B16" s="6" t="s">
        <v>140</v>
      </c>
    </row>
    <row r="17" spans="1:8" ht="15.5" x14ac:dyDescent="0.35">
      <c r="A17" s="6" t="s">
        <v>141</v>
      </c>
      <c r="B17" s="6" t="s">
        <v>142</v>
      </c>
    </row>
    <row r="18" spans="1:8" ht="15.5" x14ac:dyDescent="0.35">
      <c r="A18" s="6" t="s">
        <v>143</v>
      </c>
      <c r="B18" s="6" t="s">
        <v>144</v>
      </c>
    </row>
    <row r="21" spans="1:8" ht="15.5" x14ac:dyDescent="0.35">
      <c r="A21" s="6" t="s">
        <v>145</v>
      </c>
    </row>
    <row r="22" spans="1:8" x14ac:dyDescent="0.35">
      <c r="A22" t="s">
        <v>121</v>
      </c>
      <c r="B22" t="s">
        <v>137</v>
      </c>
      <c r="C22" t="s">
        <v>87</v>
      </c>
      <c r="D22" t="s">
        <v>88</v>
      </c>
      <c r="F22" t="s">
        <v>121</v>
      </c>
      <c r="G22" t="s">
        <v>137</v>
      </c>
      <c r="H22" t="s">
        <v>87</v>
      </c>
    </row>
    <row r="23" spans="1:8" x14ac:dyDescent="0.35">
      <c r="A23">
        <v>1</v>
      </c>
      <c r="B23">
        <v>241</v>
      </c>
      <c r="C23">
        <v>4</v>
      </c>
      <c r="D23">
        <f>SUM(B23:C23)</f>
        <v>245</v>
      </c>
      <c r="F23">
        <v>1</v>
      </c>
      <c r="G23">
        <f>D23*$B$27/$D$27</f>
        <v>240.83500000000001</v>
      </c>
      <c r="H23">
        <f>D23*$C$27/$D$27</f>
        <v>4.165</v>
      </c>
    </row>
    <row r="24" spans="1:8" x14ac:dyDescent="0.35">
      <c r="A24">
        <v>2</v>
      </c>
      <c r="B24">
        <v>257</v>
      </c>
      <c r="C24">
        <v>2</v>
      </c>
      <c r="D24">
        <f t="shared" ref="D24:D27" si="0">SUM(B24:C24)</f>
        <v>259</v>
      </c>
      <c r="F24">
        <v>2</v>
      </c>
      <c r="G24">
        <f t="shared" ref="G24:G27" si="1">D24*$B$27/$D$27</f>
        <v>254.59700000000001</v>
      </c>
      <c r="H24">
        <f t="shared" ref="H24:H27" si="2">D24*$C$27/$D$27</f>
        <v>4.4029999999999996</v>
      </c>
    </row>
    <row r="25" spans="1:8" x14ac:dyDescent="0.35">
      <c r="A25">
        <v>3</v>
      </c>
      <c r="B25">
        <v>260</v>
      </c>
      <c r="C25">
        <v>2</v>
      </c>
      <c r="D25">
        <f t="shared" si="0"/>
        <v>262</v>
      </c>
      <c r="F25">
        <v>3</v>
      </c>
      <c r="G25">
        <f t="shared" si="1"/>
        <v>257.54599999999999</v>
      </c>
      <c r="H25">
        <f t="shared" si="2"/>
        <v>4.4539999999999997</v>
      </c>
    </row>
    <row r="26" spans="1:8" x14ac:dyDescent="0.35">
      <c r="A26">
        <v>4</v>
      </c>
      <c r="B26">
        <v>225</v>
      </c>
      <c r="C26">
        <v>9</v>
      </c>
      <c r="D26">
        <f t="shared" si="0"/>
        <v>234</v>
      </c>
      <c r="F26">
        <v>4</v>
      </c>
      <c r="G26">
        <f t="shared" si="1"/>
        <v>230.02199999999999</v>
      </c>
      <c r="H26">
        <f t="shared" si="2"/>
        <v>3.9780000000000002</v>
      </c>
    </row>
    <row r="27" spans="1:8" x14ac:dyDescent="0.35">
      <c r="A27" t="s">
        <v>88</v>
      </c>
      <c r="B27">
        <v>983</v>
      </c>
      <c r="C27">
        <v>17</v>
      </c>
      <c r="D27">
        <f t="shared" si="0"/>
        <v>1000</v>
      </c>
      <c r="F27" t="s">
        <v>88</v>
      </c>
      <c r="G27">
        <f t="shared" si="1"/>
        <v>983</v>
      </c>
      <c r="H27">
        <f t="shared" si="2"/>
        <v>17</v>
      </c>
    </row>
    <row r="29" spans="1:8" ht="15.5" x14ac:dyDescent="0.35">
      <c r="F29" s="6" t="s">
        <v>146</v>
      </c>
      <c r="G29" s="6" cm="1">
        <f t="array" ref="G29">SUMPRODUCT((B23:C26-G23:H26)^2/(G23:H26))</f>
        <v>9.1658883142457217</v>
      </c>
    </row>
    <row r="30" spans="1:8" ht="15.5" x14ac:dyDescent="0.35">
      <c r="F30" s="6" t="s">
        <v>147</v>
      </c>
      <c r="G30" s="6">
        <f>_xlfn.CHISQ.TEST(B23:C26,G23:H26)</f>
        <v>2.7164714095572477E-2</v>
      </c>
    </row>
    <row r="31" spans="1:8" ht="15.5" x14ac:dyDescent="0.35">
      <c r="F31" s="6" t="s">
        <v>148</v>
      </c>
      <c r="G31" s="6">
        <v>0.05</v>
      </c>
    </row>
    <row r="32" spans="1:8" ht="15.5" x14ac:dyDescent="0.35">
      <c r="F32" s="6" t="s">
        <v>149</v>
      </c>
      <c r="G32" s="6" t="str">
        <f>IF(G30&lt;0.05,"Reject H0","Fail to Reject H0")</f>
        <v>Reject H0</v>
      </c>
    </row>
    <row r="33" spans="1:8" ht="15.5" x14ac:dyDescent="0.35">
      <c r="F33" s="6" t="s">
        <v>150</v>
      </c>
      <c r="G33" s="6" t="s">
        <v>151</v>
      </c>
    </row>
    <row r="34" spans="1:8" ht="15.5" x14ac:dyDescent="0.35">
      <c r="F34" s="6" t="s">
        <v>152</v>
      </c>
      <c r="G34" s="6" t="s">
        <v>153</v>
      </c>
    </row>
    <row r="36" spans="1:8" x14ac:dyDescent="0.35">
      <c r="A36" s="4" t="s">
        <v>173</v>
      </c>
      <c r="B36" s="4" t="s">
        <v>172</v>
      </c>
    </row>
    <row r="37" spans="1:8" x14ac:dyDescent="0.35">
      <c r="A37" s="4" t="s">
        <v>139</v>
      </c>
      <c r="B37" s="4" t="s">
        <v>154</v>
      </c>
    </row>
    <row r="38" spans="1:8" x14ac:dyDescent="0.35">
      <c r="A38" s="4" t="s">
        <v>141</v>
      </c>
      <c r="B38" s="4" t="s">
        <v>155</v>
      </c>
    </row>
    <row r="39" spans="1:8" x14ac:dyDescent="0.35">
      <c r="A39" s="4" t="s">
        <v>143</v>
      </c>
      <c r="B39" s="4" t="s">
        <v>156</v>
      </c>
    </row>
    <row r="42" spans="1:8" x14ac:dyDescent="0.35">
      <c r="A42" t="s">
        <v>136</v>
      </c>
      <c r="B42" t="s">
        <v>137</v>
      </c>
      <c r="C42" t="s">
        <v>87</v>
      </c>
      <c r="D42" t="s">
        <v>88</v>
      </c>
      <c r="F42" t="s">
        <v>136</v>
      </c>
      <c r="G42" t="s">
        <v>157</v>
      </c>
      <c r="H42" t="s">
        <v>158</v>
      </c>
    </row>
    <row r="43" spans="1:8" x14ac:dyDescent="0.35">
      <c r="A43" t="s">
        <v>105</v>
      </c>
      <c r="B43">
        <v>483</v>
      </c>
      <c r="C43">
        <v>17</v>
      </c>
      <c r="D43">
        <f>SUM(B43:C43)</f>
        <v>500</v>
      </c>
      <c r="F43" t="s">
        <v>105</v>
      </c>
      <c r="G43">
        <f>D43*$B$45/$D$45</f>
        <v>491.5</v>
      </c>
      <c r="H43">
        <f>D43*$C$45/$D$45</f>
        <v>8.5</v>
      </c>
    </row>
    <row r="44" spans="1:8" x14ac:dyDescent="0.35">
      <c r="A44" t="s">
        <v>106</v>
      </c>
      <c r="B44">
        <v>500</v>
      </c>
      <c r="C44">
        <v>0</v>
      </c>
      <c r="D44">
        <f t="shared" ref="D44:D45" si="3">SUM(B44:C44)</f>
        <v>500</v>
      </c>
      <c r="F44" t="s">
        <v>106</v>
      </c>
      <c r="G44">
        <f t="shared" ref="G44:G45" si="4">D44*$B$45/$D$45</f>
        <v>491.5</v>
      </c>
      <c r="H44">
        <f t="shared" ref="H44:H45" si="5">D44*$C$45/$D$45</f>
        <v>8.5</v>
      </c>
    </row>
    <row r="45" spans="1:8" x14ac:dyDescent="0.35">
      <c r="A45" t="s">
        <v>88</v>
      </c>
      <c r="B45">
        <v>983</v>
      </c>
      <c r="C45">
        <v>17</v>
      </c>
      <c r="D45">
        <f t="shared" si="3"/>
        <v>1000</v>
      </c>
      <c r="F45" t="s">
        <v>88</v>
      </c>
      <c r="G45">
        <f>SUM(G43:G44)</f>
        <v>983</v>
      </c>
      <c r="H45">
        <f t="shared" si="5"/>
        <v>17</v>
      </c>
    </row>
    <row r="47" spans="1:8" x14ac:dyDescent="0.35">
      <c r="F47" s="4" t="s">
        <v>146</v>
      </c>
      <c r="G47" s="4" cm="1">
        <f t="array" ref="G47">SUMPRODUCT((B43:C44-G43:H44)^2/(G43:H44))</f>
        <v>17.293997965412004</v>
      </c>
    </row>
    <row r="48" spans="1:8" x14ac:dyDescent="0.35">
      <c r="F48" s="4" t="s">
        <v>147</v>
      </c>
      <c r="G48" s="4">
        <f>_xlfn.CHISQ.TEST(B43:C44,G43:H44)</f>
        <v>3.2019663441936167E-5</v>
      </c>
    </row>
    <row r="49" spans="1:7" x14ac:dyDescent="0.35">
      <c r="F49" s="4" t="s">
        <v>148</v>
      </c>
      <c r="G49" s="4">
        <v>0.05</v>
      </c>
    </row>
    <row r="50" spans="1:7" x14ac:dyDescent="0.35">
      <c r="F50" s="4" t="s">
        <v>149</v>
      </c>
      <c r="G50" s="4" t="str">
        <f>IF(G48&lt;0.05,"Reject H0","Fail to Reject H0")</f>
        <v>Reject H0</v>
      </c>
    </row>
    <row r="51" spans="1:7" x14ac:dyDescent="0.35">
      <c r="F51" s="4" t="s">
        <v>150</v>
      </c>
      <c r="G51" s="4" t="s">
        <v>159</v>
      </c>
    </row>
    <row r="52" spans="1:7" x14ac:dyDescent="0.35">
      <c r="F52" s="4" t="s">
        <v>152</v>
      </c>
      <c r="G52" s="4" t="s">
        <v>160</v>
      </c>
    </row>
    <row r="54" spans="1:7" x14ac:dyDescent="0.35">
      <c r="A54" s="4" t="s">
        <v>161</v>
      </c>
      <c r="B54" s="4"/>
      <c r="C54" s="4"/>
      <c r="D54" s="4"/>
      <c r="E54" s="4"/>
    </row>
    <row r="55" spans="1:7" x14ac:dyDescent="0.35">
      <c r="A55" s="4" t="s">
        <v>162</v>
      </c>
      <c r="B55" s="4" t="s">
        <v>163</v>
      </c>
      <c r="C55" s="4" t="s">
        <v>147</v>
      </c>
      <c r="D55" s="4" t="s">
        <v>149</v>
      </c>
      <c r="E55" s="4" t="s">
        <v>14</v>
      </c>
    </row>
    <row r="56" spans="1:7" x14ac:dyDescent="0.35">
      <c r="A56" s="4" t="s">
        <v>135</v>
      </c>
      <c r="B56" s="4">
        <v>17.294</v>
      </c>
      <c r="C56" s="10">
        <v>3.2019700000000001E-5</v>
      </c>
      <c r="D56" s="4" t="s">
        <v>164</v>
      </c>
      <c r="E56" s="4" t="s">
        <v>165</v>
      </c>
    </row>
    <row r="57" spans="1:7" x14ac:dyDescent="0.35">
      <c r="A57" s="4" t="s">
        <v>138</v>
      </c>
      <c r="B57" s="4">
        <v>9.1660000000000004</v>
      </c>
      <c r="C57" s="4">
        <v>2.716E-2</v>
      </c>
      <c r="D57" s="4" t="s">
        <v>164</v>
      </c>
      <c r="E57" s="4" t="s">
        <v>165</v>
      </c>
    </row>
    <row r="59" spans="1:7" x14ac:dyDescent="0.35">
      <c r="A59" s="4" t="s">
        <v>166</v>
      </c>
    </row>
    <row r="60" spans="1:7" x14ac:dyDescent="0.35">
      <c r="A60" s="4" t="s">
        <v>167</v>
      </c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Data_Cleaning_Log</vt:lpstr>
      <vt:lpstr>Outlier_Analysis</vt:lpstr>
      <vt:lpstr>Data_Dictionary</vt:lpstr>
      <vt:lpstr>Excel_Analysis</vt:lpstr>
      <vt:lpstr>Risk_Segmentation</vt:lpstr>
      <vt:lpstr>Hypothesis_Testing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Nikita Kumari</cp:lastModifiedBy>
  <dcterms:created xsi:type="dcterms:W3CDTF">2026-08-19T12:58:49Z</dcterms:created>
  <dcterms:modified xsi:type="dcterms:W3CDTF">2026-08-19T20:33:04Z</dcterms:modified>
</cp:coreProperties>
</file>